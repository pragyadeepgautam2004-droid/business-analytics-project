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Ex3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Ex4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Ex5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agyadeepgautam/Desktop/"/>
    </mc:Choice>
  </mc:AlternateContent>
  <xr:revisionPtr revIDLastSave="0" documentId="13_ncr:1_{E8081428-B330-E348-9793-2A28DEB01274}" xr6:coauthVersionLast="47" xr6:coauthVersionMax="47" xr10:uidLastSave="{00000000-0000-0000-0000-000000000000}"/>
  <bookViews>
    <workbookView xWindow="0" yWindow="500" windowWidth="28800" windowHeight="15980" firstSheet="2" activeTab="7" xr2:uid="{33F68C77-A099-B74A-8D1D-F891567B0AC9}"/>
  </bookViews>
  <sheets>
    <sheet name="Peoject Overview" sheetId="7" r:id="rId1"/>
    <sheet name="sales-profit scatter analysis" sheetId="1" r:id="rId2"/>
    <sheet name="sales revenue analysis" sheetId="2" r:id="rId3"/>
    <sheet name="pareto anlysis of productdefect" sheetId="3" r:id="rId4"/>
    <sheet name="profit distribution by box plot" sheetId="4" r:id="rId5"/>
    <sheet name="HR training performance analysi" sheetId="5" r:id="rId6"/>
    <sheet name="share price comparative analysi" sheetId="6" r:id="rId7"/>
    <sheet name="key learning" sheetId="8" r:id="rId8"/>
  </sheets>
  <definedNames>
    <definedName name="_xlchart.v1.0" hidden="1">'sales-profit scatter analysis'!$C$56:$C$65</definedName>
    <definedName name="_xlchart.v1.1" hidden="1">'sales-profit scatter analysis'!$D$56:$D$65</definedName>
    <definedName name="_xlchart.v1.10" hidden="1">'share price comparative analysi'!$A$1</definedName>
    <definedName name="_xlchart.v1.11" hidden="1">'share price comparative analysi'!$A$2:$A$15</definedName>
    <definedName name="_xlchart.v1.12" hidden="1">'share price comparative analysi'!$B$1</definedName>
    <definedName name="_xlchart.v1.13" hidden="1">'share price comparative analysi'!$B$2:$B$15</definedName>
    <definedName name="_xlchart.v1.14" hidden="1">'share price comparative analysi'!$C$1</definedName>
    <definedName name="_xlchart.v1.15" hidden="1">'share price comparative analysi'!$C$2:$C$15</definedName>
    <definedName name="_xlchart.v1.2" hidden="1">'pareto anlysis of productdefect'!$E$3:$N$3</definedName>
    <definedName name="_xlchart.v1.3" hidden="1">'pareto anlysis of productdefect'!$E$4:$N$4</definedName>
    <definedName name="_xlchart.v1.4" hidden="1">'profit distribution by box plot'!$B$5</definedName>
    <definedName name="_xlchart.v1.5" hidden="1">'profit distribution by box plot'!$B$6:$B$15</definedName>
    <definedName name="_xlchart.v1.6" hidden="1">'HR training performance analysi'!$C$6</definedName>
    <definedName name="_xlchart.v1.7" hidden="1">'HR training performance analysi'!$C$7:$C$16</definedName>
    <definedName name="_xlchart.v1.8" hidden="1">'HR training performance analysi'!$D$6</definedName>
    <definedName name="_xlchart.v1.9" hidden="1">'HR training performance analysi'!$D$7:$D$16</definedName>
  </definedNames>
  <calcPr calcId="191029"/>
  <pivotCaches>
    <pivotCache cacheId="2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6" l="1"/>
  <c r="C25" i="6"/>
  <c r="B25" i="6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I4" i="2"/>
  <c r="H4" i="2"/>
  <c r="I3" i="2"/>
  <c r="H3" i="2"/>
  <c r="D56" i="1" a="1"/>
  <c r="D65" i="1" s="1"/>
  <c r="B23" i="1" a="1"/>
  <c r="J23" i="1" s="1"/>
  <c r="D62" i="1" l="1"/>
  <c r="D58" i="1"/>
  <c r="E23" i="1"/>
  <c r="I23" i="1"/>
  <c r="D56" i="1"/>
  <c r="D60" i="1"/>
  <c r="D64" i="1"/>
  <c r="C23" i="1"/>
  <c r="G23" i="1"/>
  <c r="K23" i="1"/>
  <c r="D23" i="1"/>
  <c r="H23" i="1"/>
  <c r="D59" i="1"/>
  <c r="D63" i="1"/>
  <c r="B23" i="1"/>
  <c r="F23" i="1"/>
  <c r="D57" i="1"/>
  <c r="D61" i="1"/>
</calcChain>
</file>

<file path=xl/sharedStrings.xml><?xml version="1.0" encoding="utf-8"?>
<sst xmlns="http://schemas.openxmlformats.org/spreadsheetml/2006/main" count="306" uniqueCount="160">
  <si>
    <t xml:space="preserve">Sales </t>
  </si>
  <si>
    <t>Example: 5.1</t>
  </si>
  <si>
    <t>Profits</t>
  </si>
  <si>
    <t>Prepare a Scatter plot to depict the relationship between sales and profits and interpreate the visual presentation</t>
  </si>
  <si>
    <t>Example: 5.2</t>
  </si>
  <si>
    <t>Years</t>
  </si>
  <si>
    <t>(b)</t>
  </si>
  <si>
    <t xml:space="preserve">Prepare a  Line Chart to  (i) depict the above time series data; (ii) Compute the trend Values; </t>
  </si>
  <si>
    <t>Trend</t>
  </si>
  <si>
    <t>(iii) depict the trend values as  a secondary line in the line chart; and (iv) interpreate the visual representations</t>
  </si>
  <si>
    <t>Example: 5.3</t>
  </si>
  <si>
    <t>Class Intervals</t>
  </si>
  <si>
    <t>Frequency (f)</t>
  </si>
  <si>
    <t>-</t>
  </si>
  <si>
    <t>Example: 5.7</t>
  </si>
  <si>
    <t>Juniors</t>
  </si>
  <si>
    <t>Seniors</t>
  </si>
  <si>
    <t>Internal Example</t>
  </si>
  <si>
    <t>A</t>
  </si>
  <si>
    <t>B</t>
  </si>
  <si>
    <t>C</t>
  </si>
  <si>
    <t>Category</t>
  </si>
  <si>
    <t>SubCategory</t>
  </si>
  <si>
    <t>Quantity</t>
  </si>
  <si>
    <t>Fruits</t>
  </si>
  <si>
    <t>Apples</t>
  </si>
  <si>
    <t>Oranges</t>
  </si>
  <si>
    <t>Bananas</t>
  </si>
  <si>
    <t>Grapes</t>
  </si>
  <si>
    <t>Papaya</t>
  </si>
  <si>
    <t>Mango</t>
  </si>
  <si>
    <t>Grains</t>
  </si>
  <si>
    <t>Wheat</t>
  </si>
  <si>
    <t>Rice</t>
  </si>
  <si>
    <t>Barley</t>
  </si>
  <si>
    <t>Quinoa</t>
  </si>
  <si>
    <t>Raagi</t>
  </si>
  <si>
    <t>Oats</t>
  </si>
  <si>
    <t>Vegetables</t>
  </si>
  <si>
    <t>Carrots</t>
  </si>
  <si>
    <t>Broccoli</t>
  </si>
  <si>
    <t>Spinach</t>
  </si>
  <si>
    <t>Potatoes</t>
  </si>
  <si>
    <t>Beans</t>
  </si>
  <si>
    <t>Brinjal</t>
  </si>
  <si>
    <t>D</t>
  </si>
  <si>
    <t>Sub-Category</t>
  </si>
  <si>
    <t>Item</t>
  </si>
  <si>
    <t>Value</t>
  </si>
  <si>
    <t>Citrus</t>
  </si>
  <si>
    <t>Orange</t>
  </si>
  <si>
    <t>Lemon</t>
  </si>
  <si>
    <t>Grapefruit</t>
  </si>
  <si>
    <t>Berries</t>
  </si>
  <si>
    <t>Strawberry</t>
  </si>
  <si>
    <t>Blueberry</t>
  </si>
  <si>
    <t>Cranberry</t>
  </si>
  <si>
    <t>Vegetable</t>
  </si>
  <si>
    <t>Leafy</t>
  </si>
  <si>
    <t>Lettuce</t>
  </si>
  <si>
    <t>Cabbage</t>
  </si>
  <si>
    <t>Root</t>
  </si>
  <si>
    <t>Carrot</t>
  </si>
  <si>
    <t>Beetroot</t>
  </si>
  <si>
    <t>Reddish</t>
  </si>
  <si>
    <t>Example: 5.4</t>
  </si>
  <si>
    <t>Date</t>
  </si>
  <si>
    <t>Product</t>
  </si>
  <si>
    <t>SoldBy</t>
  </si>
  <si>
    <t>ListPrice</t>
  </si>
  <si>
    <t>ActualPrice</t>
  </si>
  <si>
    <t>Region</t>
  </si>
  <si>
    <t>Sales at  List Price</t>
  </si>
  <si>
    <t>Sales at  Actual Price</t>
  </si>
  <si>
    <t>Laptops</t>
  </si>
  <si>
    <t>Abhinav</t>
  </si>
  <si>
    <t>East</t>
  </si>
  <si>
    <t>Watches</t>
  </si>
  <si>
    <t>Deepak</t>
  </si>
  <si>
    <t>North</t>
  </si>
  <si>
    <t>Ipads</t>
  </si>
  <si>
    <t>Dushyant</t>
  </si>
  <si>
    <t>West</t>
  </si>
  <si>
    <t>Iphones</t>
  </si>
  <si>
    <t>Ananya</t>
  </si>
  <si>
    <t>Noth</t>
  </si>
  <si>
    <t>Sukant</t>
  </si>
  <si>
    <t>LG  Window AC</t>
  </si>
  <si>
    <t>South</t>
  </si>
  <si>
    <t>IPads</t>
  </si>
  <si>
    <t>Desktops</t>
  </si>
  <si>
    <t>Create a Pivot table and Pivot Chart to compare and depict  the sales at list price and sales at actual price, by taking (a) Product; (b) soldby and ( C) both product and soldby as the basis of  comparasion.</t>
  </si>
  <si>
    <t>(A)</t>
  </si>
  <si>
    <t>by Product</t>
  </si>
  <si>
    <t>Row Labels</t>
  </si>
  <si>
    <t>Sum of Sales at  List Price</t>
  </si>
  <si>
    <t>Sum of Sales at  Actual Price</t>
  </si>
  <si>
    <t>Grand Total</t>
  </si>
  <si>
    <t>Bysold</t>
  </si>
  <si>
    <t>( C)</t>
  </si>
  <si>
    <t>both by product and by sold</t>
  </si>
  <si>
    <t>Example: 5.5</t>
  </si>
  <si>
    <t>Pareto Chart</t>
  </si>
  <si>
    <t>Products</t>
  </si>
  <si>
    <t>E</t>
  </si>
  <si>
    <t>F</t>
  </si>
  <si>
    <t>G</t>
  </si>
  <si>
    <t>H</t>
  </si>
  <si>
    <t>I</t>
  </si>
  <si>
    <t>J</t>
  </si>
  <si>
    <t>Rejections</t>
  </si>
  <si>
    <t>Box Plot</t>
  </si>
  <si>
    <t>You are given the above data of profits earned by 10 firms in Crores of rupees.</t>
  </si>
  <si>
    <t>Prepare a boxplot to show the above profits by these firms.</t>
  </si>
  <si>
    <t xml:space="preserve">Minimum </t>
  </si>
  <si>
    <t xml:space="preserve">Maximum </t>
  </si>
  <si>
    <t>Median (Q2)</t>
  </si>
  <si>
    <t>Q1</t>
  </si>
  <si>
    <t>Q3</t>
  </si>
  <si>
    <t>Mean</t>
  </si>
  <si>
    <t>There are 2 groups of  10 each in a HR Training Programme: Juniors and Seniors. The test performance of each group has been organised in an Excel Sheet as follows:</t>
  </si>
  <si>
    <t>Display these test scores by vissualization using Boxplot.</t>
  </si>
  <si>
    <t>S.I.</t>
  </si>
  <si>
    <t xml:space="preserve">Junior </t>
  </si>
  <si>
    <t>Senior</t>
  </si>
  <si>
    <t>P Ltd.</t>
  </si>
  <si>
    <t>Q Ltd.</t>
  </si>
  <si>
    <t>R Ltd.</t>
  </si>
  <si>
    <t>The fluctuations in the share prices of 3 companies: P, Q and R Ltd. Have been shown:</t>
  </si>
  <si>
    <t>Prepare a Boxplot Chart to depict the changes in the these shares.</t>
  </si>
  <si>
    <t>IQR</t>
  </si>
  <si>
    <t>Project Title</t>
  </si>
  <si>
    <t>Business Analytics &amp; Spreadsheet Modelling</t>
  </si>
  <si>
    <t>Objective</t>
  </si>
  <si>
    <t>To apply Microsoft Excel's analytical and visualization capabilities to interpret business data, identify trends, and support decision-making through statistical charts and business reporting.</t>
  </si>
  <si>
    <t>Software Used</t>
  </si>
  <si>
    <t>Microsoft Excel</t>
  </si>
  <si>
    <t>Topics Covered</t>
  </si>
  <si>
    <t>Scatter Charts</t>
  </si>
  <si>
    <t>Sales &amp; Profit Analysis</t>
  </si>
  <si>
    <t>Pareto Analysis</t>
  </si>
  <si>
    <t>HR Performance Analysis</t>
  </si>
  <si>
    <t>Comparative Business Analysis</t>
  </si>
  <si>
    <t>Skills Demonstrated</t>
  </si>
  <si>
    <t>Business Analytics</t>
  </si>
  <si>
    <t>Data Visualization</t>
  </si>
  <si>
    <t>Statistical Analysis</t>
  </si>
  <si>
    <t>Sales Analysis</t>
  </si>
  <si>
    <t>HR Analytics</t>
  </si>
  <si>
    <t>Decision Support</t>
  </si>
  <si>
    <t>Analytical Thinking</t>
  </si>
  <si>
    <t>Spreadsheet Modelling</t>
  </si>
  <si>
    <t>Key Learnings</t>
  </si>
  <si>
    <t>Created scatter charts to analyse the relationship between sales and profits.</t>
  </si>
  <si>
    <t>Analysed sales transactions and revenue using structured business datasets.</t>
  </si>
  <si>
    <t>Applied Pareto analysis to identify major contributors to product defects and support quality improvement.</t>
  </si>
  <si>
    <t>Used box plots to visualise data distribution and compare business performance.</t>
  </si>
  <si>
    <t>Evaluated HR training performance through comparative statistical analysis.</t>
  </si>
  <si>
    <t>Compared share price movements of multiple companies to identify trends and performance differences.</t>
  </si>
  <si>
    <t>Improved business reporting, data visualisation, and analytical decision-making skills using Microsoft Excel.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</si>
</sst>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b/>
      <sz val="11"/>
      <color rgb="FFC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color rgb="FF0070C0"/>
      <name val="Courier New"/>
      <family val="3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0" xfId="0" applyFont="1"/>
    <xf numFmtId="0" fontId="4" fillId="0" borderId="0" xfId="0" applyFont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5" fillId="2" borderId="0" xfId="0" applyFont="1" applyFill="1"/>
    <xf numFmtId="0" fontId="6" fillId="2" borderId="0" xfId="0" applyFont="1" applyFill="1"/>
    <xf numFmtId="0" fontId="0" fillId="2" borderId="0" xfId="0" applyFill="1"/>
    <xf numFmtId="0" fontId="7" fillId="0" borderId="0" xfId="0" applyFont="1" applyAlignment="1">
      <alignment horizontal="left" vertical="center"/>
    </xf>
    <xf numFmtId="0" fontId="8" fillId="0" borderId="0" xfId="0" applyFont="1"/>
    <xf numFmtId="0" fontId="6" fillId="0" borderId="7" xfId="0" applyFont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6" fillId="0" borderId="10" xfId="0" applyFont="1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3" borderId="0" xfId="0" applyFont="1" applyFill="1"/>
    <xf numFmtId="0" fontId="6" fillId="0" borderId="13" xfId="0" applyFont="1" applyBorder="1"/>
    <xf numFmtId="1" fontId="0" fillId="0" borderId="13" xfId="0" applyNumberFormat="1" applyBorder="1" applyAlignment="1">
      <alignment horizontal="center"/>
    </xf>
    <xf numFmtId="1" fontId="0" fillId="0" borderId="13" xfId="0" applyNumberFormat="1" applyBorder="1"/>
    <xf numFmtId="0" fontId="0" fillId="3" borderId="0" xfId="0" applyFill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0" xfId="0" applyAlignment="1">
      <alignment horizontal="center" vertical="center"/>
    </xf>
    <xf numFmtId="0" fontId="10" fillId="0" borderId="13" xfId="0" applyFont="1" applyBorder="1" applyAlignment="1">
      <alignment vertical="center"/>
    </xf>
    <xf numFmtId="0" fontId="10" fillId="0" borderId="13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0" fillId="4" borderId="0" xfId="0" applyFill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11" fillId="5" borderId="1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12" fillId="0" borderId="14" xfId="0" applyFont="1" applyBorder="1" applyAlignment="1">
      <alignment vertical="center"/>
    </xf>
    <xf numFmtId="0" fontId="1" fillId="0" borderId="13" xfId="0" applyFont="1" applyBorder="1"/>
    <xf numFmtId="0" fontId="1" fillId="0" borderId="15" xfId="0" applyFont="1" applyBorder="1" applyAlignment="1">
      <alignment horizontal="center"/>
    </xf>
    <xf numFmtId="0" fontId="12" fillId="0" borderId="14" xfId="0" applyFont="1" applyBorder="1"/>
    <xf numFmtId="0" fontId="12" fillId="0" borderId="4" xfId="0" applyFont="1" applyBorder="1" applyAlignment="1">
      <alignment vertical="center"/>
    </xf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0" fontId="12" fillId="0" borderId="18" xfId="0" applyFont="1" applyBorder="1" applyAlignment="1">
      <alignment vertical="center"/>
    </xf>
    <xf numFmtId="0" fontId="1" fillId="0" borderId="18" xfId="0" applyFont="1" applyBorder="1"/>
    <xf numFmtId="0" fontId="1" fillId="0" borderId="18" xfId="0" applyFont="1" applyBorder="1" applyAlignment="1">
      <alignment horizontal="center"/>
    </xf>
    <xf numFmtId="0" fontId="12" fillId="0" borderId="13" xfId="0" applyFont="1" applyBorder="1" applyAlignment="1">
      <alignment vertical="center"/>
    </xf>
    <xf numFmtId="0" fontId="1" fillId="0" borderId="13" xfId="0" applyFont="1" applyBorder="1" applyAlignment="1">
      <alignment horizontal="center"/>
    </xf>
    <xf numFmtId="0" fontId="13" fillId="0" borderId="0" xfId="0" applyFont="1"/>
    <xf numFmtId="0" fontId="6" fillId="0" borderId="0" xfId="0" applyFont="1"/>
    <xf numFmtId="0" fontId="6" fillId="6" borderId="19" xfId="0" applyFont="1" applyFill="1" applyBorder="1" applyAlignment="1">
      <alignment horizontal="center"/>
    </xf>
    <xf numFmtId="0" fontId="6" fillId="6" borderId="16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/>
    <xf numFmtId="0" fontId="1" fillId="0" borderId="20" xfId="0" applyFont="1" applyBorder="1"/>
    <xf numFmtId="0" fontId="1" fillId="0" borderId="21" xfId="0" applyFont="1" applyBorder="1"/>
    <xf numFmtId="0" fontId="6" fillId="7" borderId="23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7" borderId="24" xfId="0" applyFont="1" applyFill="1" applyBorder="1" applyAlignment="1">
      <alignment horizontal="center"/>
    </xf>
    <xf numFmtId="0" fontId="6" fillId="7" borderId="13" xfId="0" applyFont="1" applyFill="1" applyBorder="1" applyAlignment="1">
      <alignment horizontal="center" wrapText="1"/>
    </xf>
    <xf numFmtId="15" fontId="0" fillId="0" borderId="25" xfId="0" applyNumberFormat="1" applyBorder="1"/>
    <xf numFmtId="3" fontId="0" fillId="0" borderId="13" xfId="0" applyNumberFormat="1" applyBorder="1"/>
    <xf numFmtId="0" fontId="0" fillId="0" borderId="17" xfId="0" applyBorder="1"/>
    <xf numFmtId="15" fontId="0" fillId="0" borderId="26" xfId="0" applyNumberFormat="1" applyBorder="1"/>
    <xf numFmtId="0" fontId="0" fillId="0" borderId="5" xfId="0" applyBorder="1"/>
    <xf numFmtId="3" fontId="0" fillId="0" borderId="5" xfId="0" applyNumberFormat="1" applyBorder="1"/>
    <xf numFmtId="0" fontId="0" fillId="0" borderId="27" xfId="0" applyBorder="1"/>
    <xf numFmtId="15" fontId="5" fillId="8" borderId="19" xfId="0" applyNumberFormat="1" applyFont="1" applyFill="1" applyBorder="1"/>
    <xf numFmtId="0" fontId="5" fillId="8" borderId="16" xfId="0" applyFont="1" applyFill="1" applyBorder="1"/>
    <xf numFmtId="3" fontId="5" fillId="8" borderId="16" xfId="0" applyNumberFormat="1" applyFont="1" applyFill="1" applyBorder="1"/>
    <xf numFmtId="0" fontId="5" fillId="8" borderId="16" xfId="0" applyFont="1" applyFill="1" applyBorder="1" applyAlignment="1">
      <alignment horizontal="center"/>
    </xf>
    <xf numFmtId="0" fontId="5" fillId="8" borderId="28" xfId="0" applyFont="1" applyFill="1" applyBorder="1"/>
    <xf numFmtId="0" fontId="5" fillId="8" borderId="0" xfId="0" applyFont="1" applyFill="1"/>
    <xf numFmtId="0" fontId="0" fillId="8" borderId="0" xfId="0" applyFill="1"/>
    <xf numFmtId="0" fontId="6" fillId="9" borderId="0" xfId="0" applyFont="1" applyFill="1"/>
    <xf numFmtId="0" fontId="0" fillId="0" borderId="13" xfId="0" applyBorder="1" applyAlignment="1">
      <alignment horizontal="left"/>
    </xf>
    <xf numFmtId="0" fontId="2" fillId="3" borderId="0" xfId="0" applyFont="1" applyFill="1"/>
    <xf numFmtId="0" fontId="0" fillId="0" borderId="13" xfId="0" applyBorder="1" applyAlignment="1">
      <alignment horizontal="left" indent="1"/>
    </xf>
    <xf numFmtId="0" fontId="2" fillId="0" borderId="0" xfId="0" applyFont="1" applyAlignment="1">
      <alignment horizontal="center" vertical="top"/>
    </xf>
    <xf numFmtId="0" fontId="6" fillId="0" borderId="0" xfId="0" applyFont="1" applyAlignment="1">
      <alignment horizontal="center"/>
    </xf>
    <xf numFmtId="0" fontId="6" fillId="0" borderId="1" xfId="0" applyFont="1" applyBorder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/>
    <xf numFmtId="0" fontId="14" fillId="2" borderId="13" xfId="0" applyFont="1" applyFill="1" applyBorder="1"/>
    <xf numFmtId="0" fontId="6" fillId="0" borderId="13" xfId="0" applyFont="1" applyBorder="1" applyAlignment="1">
      <alignment horizontal="center" vertical="center"/>
    </xf>
    <xf numFmtId="0" fontId="2" fillId="0" borderId="0" xfId="0" applyFont="1"/>
    <xf numFmtId="0" fontId="6" fillId="7" borderId="13" xfId="0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3" xfId="0" applyFont="1" applyBorder="1" applyAlignment="1">
      <alignment horizontal="center"/>
    </xf>
    <xf numFmtId="0" fontId="9" fillId="0" borderId="0" xfId="0" applyFont="1" applyAlignment="1">
      <alignment horizontal="center" vertical="top"/>
    </xf>
    <xf numFmtId="0" fontId="9" fillId="0" borderId="0" xfId="0" applyFont="1" applyAlignment="1">
      <alignment horizontal="left"/>
    </xf>
    <xf numFmtId="0" fontId="6" fillId="0" borderId="22" xfId="0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15" fillId="0" borderId="0" xfId="0" applyFont="1"/>
  </cellXfs>
  <cellStyles count="1">
    <cellStyle name="Normal" xfId="0" builtinId="0"/>
  </cellStyles>
  <dxfs count="36"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dd/mmm/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thin">
          <color indexed="64"/>
        </right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 between Sales and Profits</a:t>
            </a:r>
          </a:p>
        </c:rich>
      </c:tx>
      <c:layout>
        <c:manualLayout>
          <c:xMode val="edge"/>
          <c:yMode val="edge"/>
          <c:x val="0.2265087544927851"/>
          <c:y val="9.169135534623774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'sales-profit scatter analysis'!$A$2</c:f>
              <c:strCache>
                <c:ptCount val="1"/>
                <c:pt idx="0">
                  <c:v>Profits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'sales-profit scatter analysis'!$B$1:$K$1</c:f>
              <c:numCache>
                <c:formatCode>General</c:formatCode>
                <c:ptCount val="10"/>
                <c:pt idx="0">
                  <c:v>50</c:v>
                </c:pt>
                <c:pt idx="1">
                  <c:v>62</c:v>
                </c:pt>
                <c:pt idx="2">
                  <c:v>68</c:v>
                </c:pt>
                <c:pt idx="3">
                  <c:v>75</c:v>
                </c:pt>
                <c:pt idx="4">
                  <c:v>80</c:v>
                </c:pt>
                <c:pt idx="5">
                  <c:v>86</c:v>
                </c:pt>
                <c:pt idx="6">
                  <c:v>90</c:v>
                </c:pt>
                <c:pt idx="7">
                  <c:v>93</c:v>
                </c:pt>
                <c:pt idx="8">
                  <c:v>95</c:v>
                </c:pt>
                <c:pt idx="9">
                  <c:v>100</c:v>
                </c:pt>
              </c:numCache>
            </c:numRef>
          </c:xVal>
          <c:yVal>
            <c:numRef>
              <c:f>'sales-profit scatter analysis'!$B$2:$K$2</c:f>
              <c:numCache>
                <c:formatCode>General</c:formatCode>
                <c:ptCount val="10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9</c:v>
                </c:pt>
                <c:pt idx="4">
                  <c:v>11</c:v>
                </c:pt>
                <c:pt idx="5">
                  <c:v>12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EF-B743-9DEC-86B0A8393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7141184"/>
        <c:axId val="447143808"/>
      </c:scatterChart>
      <c:valAx>
        <c:axId val="44714118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Sales (Rs. in Crores)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143808"/>
        <c:crosses val="autoZero"/>
        <c:crossBetween val="midCat"/>
      </c:valAx>
      <c:valAx>
        <c:axId val="44714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Profits (Rs. in Crores)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141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Across the years 2015-24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'sales-profit scatter analysis'!$A$22</c:f>
              <c:strCache>
                <c:ptCount val="1"/>
                <c:pt idx="0">
                  <c:v>Sales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'sales-profit scatter analysis'!$B$21:$K$21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'sales-profit scatter analysis'!$B$22:$K$22</c:f>
              <c:numCache>
                <c:formatCode>General</c:formatCode>
                <c:ptCount val="10"/>
                <c:pt idx="0">
                  <c:v>30</c:v>
                </c:pt>
                <c:pt idx="1">
                  <c:v>22</c:v>
                </c:pt>
                <c:pt idx="2">
                  <c:v>33</c:v>
                </c:pt>
                <c:pt idx="3">
                  <c:v>42</c:v>
                </c:pt>
                <c:pt idx="4">
                  <c:v>52</c:v>
                </c:pt>
                <c:pt idx="5">
                  <c:v>72</c:v>
                </c:pt>
                <c:pt idx="6">
                  <c:v>94</c:v>
                </c:pt>
                <c:pt idx="7">
                  <c:v>108</c:v>
                </c:pt>
                <c:pt idx="8">
                  <c:v>102</c:v>
                </c:pt>
                <c:pt idx="9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DF-DA42-B222-0F40CC0131E8}"/>
            </c:ext>
          </c:extLst>
        </c:ser>
        <c:ser>
          <c:idx val="1"/>
          <c:order val="1"/>
          <c:tx>
            <c:strRef>
              <c:f>'sales-profit scatter analysis'!$A$23</c:f>
              <c:strCache>
                <c:ptCount val="1"/>
                <c:pt idx="0">
                  <c:v>Trend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'sales-profit scatter analysis'!$B$21:$K$21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'sales-profit scatter analysis'!$B$23:$K$23</c:f>
              <c:numCache>
                <c:formatCode>0</c:formatCode>
                <c:ptCount val="10"/>
                <c:pt idx="0">
                  <c:v>16.563636363636355</c:v>
                </c:pt>
                <c:pt idx="1">
                  <c:v>27.660606060606053</c:v>
                </c:pt>
                <c:pt idx="2">
                  <c:v>38.757575757575751</c:v>
                </c:pt>
                <c:pt idx="3">
                  <c:v>49.854545454545452</c:v>
                </c:pt>
                <c:pt idx="4">
                  <c:v>60.951515151515153</c:v>
                </c:pt>
                <c:pt idx="5">
                  <c:v>72.048484848484847</c:v>
                </c:pt>
                <c:pt idx="6">
                  <c:v>83.145454545454555</c:v>
                </c:pt>
                <c:pt idx="7">
                  <c:v>94.242424242424249</c:v>
                </c:pt>
                <c:pt idx="8">
                  <c:v>105.33939393939394</c:v>
                </c:pt>
                <c:pt idx="9">
                  <c:v>116.43636363636365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DF-DA42-B222-0F40CC013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0666184"/>
        <c:axId val="560671104"/>
      </c:lineChart>
      <c:catAx>
        <c:axId val="560666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671104"/>
        <c:crosses val="autoZero"/>
        <c:auto val="1"/>
        <c:lblAlgn val="ctr"/>
        <c:lblOffset val="100"/>
        <c:noMultiLvlLbl val="0"/>
      </c:catAx>
      <c:valAx>
        <c:axId val="56067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666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/>
              <a:t>Sales of Products by Listed Price and Actual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Sales at  List Price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Desktops</c:v>
              </c:pt>
              <c:pt idx="1">
                <c:v>Ipads</c:v>
              </c:pt>
              <c:pt idx="2">
                <c:v>Iphones</c:v>
              </c:pt>
              <c:pt idx="3">
                <c:v>Laptops</c:v>
              </c:pt>
              <c:pt idx="4">
                <c:v>LG  Window AC</c:v>
              </c:pt>
              <c:pt idx="5">
                <c:v>Watches</c:v>
              </c:pt>
            </c:strLit>
          </c:cat>
          <c:val>
            <c:numLit>
              <c:formatCode>General</c:formatCode>
              <c:ptCount val="6"/>
              <c:pt idx="0">
                <c:v>390000</c:v>
              </c:pt>
              <c:pt idx="1">
                <c:v>1338745</c:v>
              </c:pt>
              <c:pt idx="2">
                <c:v>692500</c:v>
              </c:pt>
              <c:pt idx="3">
                <c:v>635000</c:v>
              </c:pt>
              <c:pt idx="4">
                <c:v>280000</c:v>
              </c:pt>
              <c:pt idx="5">
                <c:v>439375</c:v>
              </c:pt>
            </c:numLit>
          </c:val>
          <c:extLst>
            <c:ext xmlns:c16="http://schemas.microsoft.com/office/drawing/2014/chart" uri="{C3380CC4-5D6E-409C-BE32-E72D297353CC}">
              <c16:uniqueId val="{00000000-0687-2B4D-AAB4-2955BC346486}"/>
            </c:ext>
          </c:extLst>
        </c:ser>
        <c:ser>
          <c:idx val="1"/>
          <c:order val="1"/>
          <c:tx>
            <c:v>Sum of Sales at  Actual Price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Desktops</c:v>
              </c:pt>
              <c:pt idx="1">
                <c:v>Ipads</c:v>
              </c:pt>
              <c:pt idx="2">
                <c:v>Iphones</c:v>
              </c:pt>
              <c:pt idx="3">
                <c:v>Laptops</c:v>
              </c:pt>
              <c:pt idx="4">
                <c:v>LG  Window AC</c:v>
              </c:pt>
              <c:pt idx="5">
                <c:v>Watches</c:v>
              </c:pt>
            </c:strLit>
          </c:cat>
          <c:val>
            <c:numLit>
              <c:formatCode>General</c:formatCode>
              <c:ptCount val="6"/>
              <c:pt idx="0">
                <c:v>312000</c:v>
              </c:pt>
              <c:pt idx="1">
                <c:v>1070996</c:v>
              </c:pt>
              <c:pt idx="2">
                <c:v>554000</c:v>
              </c:pt>
              <c:pt idx="3">
                <c:v>508000</c:v>
              </c:pt>
              <c:pt idx="4">
                <c:v>224000</c:v>
              </c:pt>
              <c:pt idx="5">
                <c:v>351500</c:v>
              </c:pt>
            </c:numLit>
          </c:val>
          <c:extLst>
            <c:ext xmlns:c16="http://schemas.microsoft.com/office/drawing/2014/chart" uri="{C3380CC4-5D6E-409C-BE32-E72D297353CC}">
              <c16:uniqueId val="{00000001-0687-2B4D-AAB4-2955BC346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4494744"/>
        <c:axId val="454495072"/>
      </c:barChart>
      <c:catAx>
        <c:axId val="454494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Names of 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495072"/>
        <c:crosses val="autoZero"/>
        <c:auto val="1"/>
        <c:lblAlgn val="ctr"/>
        <c:lblOffset val="100"/>
        <c:noMultiLvlLbl val="0"/>
      </c:catAx>
      <c:valAx>
        <c:axId val="45449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494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Sales effected by Sales Person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Sales at  List Price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Abhinav</c:v>
              </c:pt>
              <c:pt idx="1">
                <c:v>Ananya</c:v>
              </c:pt>
              <c:pt idx="2">
                <c:v>Deepak</c:v>
              </c:pt>
              <c:pt idx="3">
                <c:v>Dushyant</c:v>
              </c:pt>
              <c:pt idx="4">
                <c:v>Sukant</c:v>
              </c:pt>
            </c:strLit>
          </c:cat>
          <c:val>
            <c:numLit>
              <c:formatCode>General</c:formatCode>
              <c:ptCount val="5"/>
              <c:pt idx="0">
                <c:v>460000</c:v>
              </c:pt>
              <c:pt idx="1">
                <c:v>853745</c:v>
              </c:pt>
              <c:pt idx="2">
                <c:v>806875</c:v>
              </c:pt>
              <c:pt idx="3">
                <c:v>537500</c:v>
              </c:pt>
              <c:pt idx="4">
                <c:v>1117500</c:v>
              </c:pt>
            </c:numLit>
          </c:val>
          <c:extLst>
            <c:ext xmlns:c16="http://schemas.microsoft.com/office/drawing/2014/chart" uri="{C3380CC4-5D6E-409C-BE32-E72D297353CC}">
              <c16:uniqueId val="{00000000-E080-8445-8241-49015E666AA9}"/>
            </c:ext>
          </c:extLst>
        </c:ser>
        <c:ser>
          <c:idx val="1"/>
          <c:order val="1"/>
          <c:tx>
            <c:v>Sum of Sales at  Actual Price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Abhinav</c:v>
              </c:pt>
              <c:pt idx="1">
                <c:v>Ananya</c:v>
              </c:pt>
              <c:pt idx="2">
                <c:v>Deepak</c:v>
              </c:pt>
              <c:pt idx="3">
                <c:v>Dushyant</c:v>
              </c:pt>
              <c:pt idx="4">
                <c:v>Sukant</c:v>
              </c:pt>
            </c:strLit>
          </c:cat>
          <c:val>
            <c:numLit>
              <c:formatCode>General</c:formatCode>
              <c:ptCount val="5"/>
              <c:pt idx="0">
                <c:v>368000</c:v>
              </c:pt>
              <c:pt idx="1">
                <c:v>682996</c:v>
              </c:pt>
              <c:pt idx="2">
                <c:v>645500</c:v>
              </c:pt>
              <c:pt idx="3">
                <c:v>430000</c:v>
              </c:pt>
              <c:pt idx="4">
                <c:v>894000</c:v>
              </c:pt>
            </c:numLit>
          </c:val>
          <c:extLst>
            <c:ext xmlns:c16="http://schemas.microsoft.com/office/drawing/2014/chart" uri="{C3380CC4-5D6E-409C-BE32-E72D297353CC}">
              <c16:uniqueId val="{00000001-E080-8445-8241-49015E666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848912"/>
        <c:axId val="528849240"/>
      </c:barChart>
      <c:catAx>
        <c:axId val="528848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Sales Person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849240"/>
        <c:crosses val="autoZero"/>
        <c:auto val="1"/>
        <c:lblAlgn val="ctr"/>
        <c:lblOffset val="100"/>
        <c:noMultiLvlLbl val="0"/>
      </c:catAx>
      <c:valAx>
        <c:axId val="528849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Sales (In Rupees)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84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wise Sales  effected by Sales Person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Sales at  List Price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3"/>
              <c:pt idx="0">
                <c:v>Abhinav Laptops</c:v>
              </c:pt>
              <c:pt idx="1">
                <c:v>Abhinav LG  Window AC</c:v>
              </c:pt>
              <c:pt idx="2">
                <c:v>Ananya Desktops</c:v>
              </c:pt>
              <c:pt idx="3">
                <c:v>Ananya Ipads</c:v>
              </c:pt>
              <c:pt idx="4">
                <c:v>Ananya Iphones</c:v>
              </c:pt>
              <c:pt idx="5">
                <c:v>Deepak Ipads</c:v>
              </c:pt>
              <c:pt idx="6">
                <c:v>Deepak Watches</c:v>
              </c:pt>
              <c:pt idx="7">
                <c:v>Dushyant Desktops</c:v>
              </c:pt>
              <c:pt idx="8">
                <c:v>Dushyant Ipads</c:v>
              </c:pt>
              <c:pt idx="9">
                <c:v>Dushyant Iphones</c:v>
              </c:pt>
              <c:pt idx="10">
                <c:v>Sukant Ipads</c:v>
              </c:pt>
              <c:pt idx="11">
                <c:v>Sukant Iphones</c:v>
              </c:pt>
              <c:pt idx="12">
                <c:v>Sukant Laptops</c:v>
              </c:pt>
            </c:strLit>
          </c:cat>
          <c:val>
            <c:numLit>
              <c:formatCode>General</c:formatCode>
              <c:ptCount val="13"/>
              <c:pt idx="0">
                <c:v>180000</c:v>
              </c:pt>
              <c:pt idx="1">
                <c:v>280000</c:v>
              </c:pt>
              <c:pt idx="2">
                <c:v>240000</c:v>
              </c:pt>
              <c:pt idx="3">
                <c:v>353745</c:v>
              </c:pt>
              <c:pt idx="4">
                <c:v>260000</c:v>
              </c:pt>
              <c:pt idx="5">
                <c:v>367500</c:v>
              </c:pt>
              <c:pt idx="6">
                <c:v>439375</c:v>
              </c:pt>
              <c:pt idx="7">
                <c:v>150000</c:v>
              </c:pt>
              <c:pt idx="8">
                <c:v>112500</c:v>
              </c:pt>
              <c:pt idx="9">
                <c:v>275000</c:v>
              </c:pt>
              <c:pt idx="10">
                <c:v>505000</c:v>
              </c:pt>
              <c:pt idx="11">
                <c:v>157500</c:v>
              </c:pt>
              <c:pt idx="12">
                <c:v>455000</c:v>
              </c:pt>
            </c:numLit>
          </c:val>
          <c:extLst>
            <c:ext xmlns:c16="http://schemas.microsoft.com/office/drawing/2014/chart" uri="{C3380CC4-5D6E-409C-BE32-E72D297353CC}">
              <c16:uniqueId val="{00000000-D1A6-7B4B-B82D-42F396D2809A}"/>
            </c:ext>
          </c:extLst>
        </c:ser>
        <c:ser>
          <c:idx val="1"/>
          <c:order val="1"/>
          <c:tx>
            <c:v>Sum of Sales at  Actual Price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3"/>
              <c:pt idx="0">
                <c:v>Abhinav Laptops</c:v>
              </c:pt>
              <c:pt idx="1">
                <c:v>Abhinav LG  Window AC</c:v>
              </c:pt>
              <c:pt idx="2">
                <c:v>Ananya Desktops</c:v>
              </c:pt>
              <c:pt idx="3">
                <c:v>Ananya Ipads</c:v>
              </c:pt>
              <c:pt idx="4">
                <c:v>Ananya Iphones</c:v>
              </c:pt>
              <c:pt idx="5">
                <c:v>Deepak Ipads</c:v>
              </c:pt>
              <c:pt idx="6">
                <c:v>Deepak Watches</c:v>
              </c:pt>
              <c:pt idx="7">
                <c:v>Dushyant Desktops</c:v>
              </c:pt>
              <c:pt idx="8">
                <c:v>Dushyant Ipads</c:v>
              </c:pt>
              <c:pt idx="9">
                <c:v>Dushyant Iphones</c:v>
              </c:pt>
              <c:pt idx="10">
                <c:v>Sukant Ipads</c:v>
              </c:pt>
              <c:pt idx="11">
                <c:v>Sukant Iphones</c:v>
              </c:pt>
              <c:pt idx="12">
                <c:v>Sukant Laptops</c:v>
              </c:pt>
            </c:strLit>
          </c:cat>
          <c:val>
            <c:numLit>
              <c:formatCode>General</c:formatCode>
              <c:ptCount val="13"/>
              <c:pt idx="0">
                <c:v>144000</c:v>
              </c:pt>
              <c:pt idx="1">
                <c:v>224000</c:v>
              </c:pt>
              <c:pt idx="2">
                <c:v>192000</c:v>
              </c:pt>
              <c:pt idx="3">
                <c:v>282996</c:v>
              </c:pt>
              <c:pt idx="4">
                <c:v>208000</c:v>
              </c:pt>
              <c:pt idx="5">
                <c:v>294000</c:v>
              </c:pt>
              <c:pt idx="6">
                <c:v>351500</c:v>
              </c:pt>
              <c:pt idx="7">
                <c:v>120000</c:v>
              </c:pt>
              <c:pt idx="8">
                <c:v>90000</c:v>
              </c:pt>
              <c:pt idx="9">
                <c:v>220000</c:v>
              </c:pt>
              <c:pt idx="10">
                <c:v>404000</c:v>
              </c:pt>
              <c:pt idx="11">
                <c:v>126000</c:v>
              </c:pt>
              <c:pt idx="12">
                <c:v>364000</c:v>
              </c:pt>
            </c:numLit>
          </c:val>
          <c:extLst>
            <c:ext xmlns:c16="http://schemas.microsoft.com/office/drawing/2014/chart" uri="{C3380CC4-5D6E-409C-BE32-E72D297353CC}">
              <c16:uniqueId val="{00000001-D1A6-7B4B-B82D-42F396D28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3449352"/>
        <c:axId val="523443776"/>
      </c:barChart>
      <c:catAx>
        <c:axId val="523449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 Person and 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443776"/>
        <c:crosses val="autoZero"/>
        <c:auto val="1"/>
        <c:lblAlgn val="ctr"/>
        <c:lblOffset val="100"/>
        <c:noMultiLvlLbl val="0"/>
      </c:catAx>
      <c:valAx>
        <c:axId val="52344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 (in Rupees)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449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</a:t>
          </a:r>
        </a:p>
      </cx:txPr>
    </cx:title>
    <cx:plotArea>
      <cx:plotAreaRegion>
        <cx:series layoutId="clusteredColumn" uniqueId="{2FB3C741-EFA8-4740-B833-A4E9D08FAA49}">
          <cx:spPr>
            <a:ln>
              <a:solidFill>
                <a:schemeClr val="tx1"/>
              </a:solidFill>
            </a:ln>
          </cx:spPr>
          <cx:dataLabels>
            <cx:visibility seriesName="0" categoryName="0" value="1"/>
          </cx:dataLabels>
          <cx:dataId val="0"/>
          <cx:layoutPr>
            <cx:aggregation/>
          </cx:layoutPr>
        </cx:series>
      </cx:plotAreaRegion>
      <cx:axis id="0">
        <cx:catScaling gapWidth="0"/>
        <cx:title>
          <cx:tx>
            <cx:txData>
              <cx:v>Upper limit of Class Interval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2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Upper limit of Class Interval</a:t>
              </a:r>
            </a:p>
          </cx:txPr>
        </cx:title>
        <cx:tickLabels/>
      </cx:axis>
      <cx:axis id="1">
        <cx:valScaling/>
        <cx:title>
          <cx:tx>
            <cx:txData>
              <cx:v>Frequencies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2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Frequencies</a:t>
              </a:r>
            </a:p>
          </cx:txPr>
        </cx:title>
        <cx:majorGridlines/>
        <cx:tickLabels/>
      </cx:axis>
    </cx:plotArea>
  </cx:chart>
  <cx:spPr>
    <a:ln>
      <a:solidFill>
        <a:schemeClr val="tx1"/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_xlchart.v1.2</cx:f>
      </cx:strDim>
      <cx:numDim type="val">
        <cx:f dir="row">_xlchart.v1.3</cx:f>
      </cx:numDim>
    </cx:data>
  </cx:chartData>
  <cx:chart>
    <cx:title pos="t" align="ctr" overlay="0">
      <cx:tx>
        <cx:txData>
          <cx:v>Pattern of Sales Oreders Rejection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Pattern of Sales Oreders Rejection</a:t>
          </a:r>
        </a:p>
      </cx:txPr>
    </cx:title>
    <cx:plotArea>
      <cx:plotAreaRegion>
        <cx:series layoutId="clusteredColumn" uniqueId="{74CE77AE-60F7-4138-BFD7-A602C6062B65}"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467342AC-F229-43B3-A07D-22269E849EF9}">
          <cx:axisId val="2"/>
        </cx:series>
      </cx:plotAreaRegion>
      <cx:axis id="0">
        <cx:catScaling gapWidth="0"/>
        <cx:title>
          <cx:tx>
            <cx:txData>
              <cx:v>Sales of Products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1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Sales of Products</a:t>
              </a:r>
            </a:p>
          </cx:txPr>
        </cx:title>
        <cx:tickLabels/>
      </cx:axis>
      <cx:axis id="1">
        <cx:valScaling/>
        <cx:title>
          <cx:tx>
            <cx:txData>
              <cx:v>No. of Sales Orders Rejected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1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No. of Sales Orders Rejected</a:t>
              </a:r>
            </a:p>
          </cx:txPr>
        </cx:title>
        <cx:majorGridlines/>
        <cx:tickLabels/>
      </cx:axis>
      <cx:axis id="2">
        <cx:valScaling max="1" min="0"/>
        <cx:title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Distribution of Profits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Distribution of Profits</a:t>
          </a:r>
        </a:p>
      </cx:txPr>
    </cx:title>
    <cx:plotArea>
      <cx:plotAreaRegion>
        <cx:series layoutId="boxWhisker" uniqueId="{8E666E0D-119C-4A28-A17E-C4266DF3D0BB}">
          <cx:tx>
            <cx:txData>
              <cx:f>_xlchart.v1.4</cx:f>
              <cx:v>Profits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Profits of Firms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2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Profits of Firms</a:t>
              </a:r>
            </a:p>
          </cx:txPr>
        </cx:title>
        <cx:tickLabels/>
      </cx:axis>
      <cx:axis id="1">
        <cx:valScaling/>
        <cx:title>
          <cx:tx>
            <cx:txData>
              <cx:v>Profits (in Crores)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2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Profits (in Crores)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_xlchart.v1.9</cx:f>
      </cx:numDim>
    </cx:data>
  </cx:chartData>
  <cx:chart>
    <cx:title pos="t" align="ctr" overlay="0">
      <cx:tx>
        <cx:txData>
          <cx:v>Test Scores of Junior and Senior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Test Scores of Junior and Senior</a:t>
          </a:r>
        </a:p>
      </cx:txPr>
    </cx:title>
    <cx:plotArea>
      <cx:plotAreaRegion>
        <cx:series layoutId="boxWhisker" uniqueId="{2F5151F7-A656-4AEC-B5F0-E1C3EDCA3297}">
          <cx:tx>
            <cx:txData>
              <cx:f>_xlchart.v1.6</cx:f>
              <cx:v>Juniors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239B5544-44E6-4AB1-A1E8-87CBE677CA5E}">
          <cx:tx>
            <cx:txData>
              <cx:f>_xlchart.v1.8</cx:f>
              <cx:v>Seniors</cx:v>
            </cx:txData>
          </cx:tx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Junior and Senior Groups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2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Junior and Senior Groups</a:t>
              </a:r>
            </a:p>
          </cx:txPr>
        </cx:title>
        <cx:tickLabels/>
      </cx:axis>
      <cx:axis id="1">
        <cx:valScaling/>
        <cx:title>
          <cx:tx>
            <cx:txData>
              <cx:v>Test Scores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2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Test Scores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  <cx:data id="1">
      <cx:numDim type="val">
        <cx:f>_xlchart.v1.13</cx:f>
      </cx:numDim>
    </cx:data>
    <cx:data id="2">
      <cx:numDim type="val">
        <cx:f>_xlchart.v1.15</cx:f>
      </cx:numDim>
    </cx:data>
  </cx:chartData>
  <cx:chart>
    <cx:title pos="t" align="ctr" overlay="0">
      <cx:tx>
        <cx:txData>
          <cx:v>Fluctuations in Shar Prices of Companies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Fluctuations in Shar Prices of Companies</a:t>
          </a:r>
        </a:p>
      </cx:txPr>
    </cx:title>
    <cx:plotArea>
      <cx:plotAreaRegion>
        <cx:series layoutId="boxWhisker" uniqueId="{B50B0681-BAD9-48EC-962B-7187BDCA4BB0}">
          <cx:tx>
            <cx:txData>
              <cx:f>_xlchart.v1.10</cx:f>
              <cx:v>P Ltd.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18C56A3-B1AF-496E-9E0C-E48C2F4E805E}">
          <cx:tx>
            <cx:txData>
              <cx:f>_xlchart.v1.12</cx:f>
              <cx:v>Q Ltd.</cx:v>
            </cx:txData>
          </cx:tx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3DA0D9A2-77C9-4D09-B043-87933701EC69}">
          <cx:tx>
            <cx:txData>
              <cx:f>_xlchart.v1.14</cx:f>
              <cx:v>R Ltd.</cx:v>
            </cx:txData>
          </cx:tx>
          <cx:dataLabels>
            <cx:visibility seriesName="0" categoryName="0" value="1"/>
          </cx:dataLabels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Companies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2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Companies</a:t>
              </a:r>
            </a:p>
          </cx:txPr>
        </cx:title>
        <cx:tickLabels/>
      </cx:axis>
      <cx:axis id="1">
        <cx:valScaling/>
        <cx:title>
          <cx:tx>
            <cx:txData>
              <cx:v>Prices of Shares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2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Prices of Shares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467221</xdr:colOff>
      <xdr:row>4</xdr:row>
      <xdr:rowOff>16815</xdr:rowOff>
    </xdr:from>
    <xdr:to>
      <xdr:col>19</xdr:col>
      <xdr:colOff>492803</xdr:colOff>
      <xdr:row>18</xdr:row>
      <xdr:rowOff>93039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880141-D96E-7249-8B0B-FDBB516E30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29234</xdr:colOff>
      <xdr:row>25</xdr:row>
      <xdr:rowOff>108464</xdr:rowOff>
    </xdr:from>
    <xdr:to>
      <xdr:col>19</xdr:col>
      <xdr:colOff>54816</xdr:colOff>
      <xdr:row>39</xdr:row>
      <xdr:rowOff>184663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C13DD2-1077-014A-A78B-3ED5D54E1B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982944</xdr:colOff>
      <xdr:row>54</xdr:row>
      <xdr:rowOff>70471</xdr:rowOff>
    </xdr:from>
    <xdr:to>
      <xdr:col>11</xdr:col>
      <xdr:colOff>523302</xdr:colOff>
      <xdr:row>68</xdr:row>
      <xdr:rowOff>148595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CFCB283-56C8-494B-8A8D-E4EBA6128C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05544" y="10624171"/>
              <a:ext cx="5166458" cy="27451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723900</xdr:colOff>
      <xdr:row>20</xdr:row>
      <xdr:rowOff>109536</xdr:rowOff>
    </xdr:from>
    <xdr:to>
      <xdr:col>12</xdr:col>
      <xdr:colOff>333375</xdr:colOff>
      <xdr:row>37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C5B967-6A78-EA4D-A529-0BF60E1A28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85724</xdr:colOff>
      <xdr:row>41</xdr:row>
      <xdr:rowOff>42862</xdr:rowOff>
    </xdr:from>
    <xdr:to>
      <xdr:col>14</xdr:col>
      <xdr:colOff>114299</xdr:colOff>
      <xdr:row>56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94F6BA-8F3A-7A41-B86E-33176D6B3A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742949</xdr:colOff>
      <xdr:row>60</xdr:row>
      <xdr:rowOff>23811</xdr:rowOff>
    </xdr:from>
    <xdr:to>
      <xdr:col>17</xdr:col>
      <xdr:colOff>38099</xdr:colOff>
      <xdr:row>79</xdr:row>
      <xdr:rowOff>104774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E0D226-81BF-004C-9501-A9FB1C8A17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285751</xdr:colOff>
      <xdr:row>5</xdr:row>
      <xdr:rowOff>76993</xdr:rowOff>
    </xdr:from>
    <xdr:to>
      <xdr:col>11</xdr:col>
      <xdr:colOff>579438</xdr:colOff>
      <xdr:row>19</xdr:row>
      <xdr:rowOff>153193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7724AC2-E579-6B42-8364-505B1FE927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78151" y="1118393"/>
              <a:ext cx="5005387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3</xdr:row>
      <xdr:rowOff>185736</xdr:rowOff>
    </xdr:from>
    <xdr:to>
      <xdr:col>15</xdr:col>
      <xdr:colOff>228600</xdr:colOff>
      <xdr:row>23</xdr:row>
      <xdr:rowOff>76199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B584D03-CC15-5441-917C-1984750714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08500" y="896936"/>
              <a:ext cx="6388100" cy="37004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5</xdr:row>
      <xdr:rowOff>90486</xdr:rowOff>
    </xdr:from>
    <xdr:to>
      <xdr:col>16</xdr:col>
      <xdr:colOff>485774</xdr:colOff>
      <xdr:row>29</xdr:row>
      <xdr:rowOff>9524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5FD3022-BB61-8B45-A813-4C9C340D8E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21175" y="1131886"/>
              <a:ext cx="7188199" cy="46307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409575</xdr:colOff>
      <xdr:row>7</xdr:row>
      <xdr:rowOff>61911</xdr:rowOff>
    </xdr:from>
    <xdr:to>
      <xdr:col>16</xdr:col>
      <xdr:colOff>447675</xdr:colOff>
      <xdr:row>28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AA793BF-D4B8-7A4E-86AD-CE9ECE79F3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95775" y="1497011"/>
              <a:ext cx="7442200" cy="44211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ragyadeepgautam/Downloads/Practical%20questions%20(4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jesh Yadav" refreshedDate="45720.449273611113" createdVersion="7" refreshedVersion="7" minRefreshableVersion="3" recordCount="16" xr:uid="{78ACA0BC-AF1E-7949-A661-CCE37461AB5B}">
  <cacheSource type="worksheet">
    <worksheetSource ref="A2:I18" sheet="Example 5.4(a,b)" r:id="rId2"/>
  </cacheSource>
  <cacheFields count="9">
    <cacheField name="Date" numFmtId="15">
      <sharedItems containsSemiMixedTypes="0" containsNonDate="0" containsDate="1" containsString="0" minDate="2024-01-02T00:00:00" maxDate="2024-04-28T00:00:00"/>
    </cacheField>
    <cacheField name="Product" numFmtId="0">
      <sharedItems count="6">
        <s v="Laptops"/>
        <s v="Watches"/>
        <s v="Ipads"/>
        <s v="Iphones"/>
        <s v="LG  Window AC"/>
        <s v="Desktops"/>
      </sharedItems>
    </cacheField>
    <cacheField name="SoldBy" numFmtId="0">
      <sharedItems count="5">
        <s v="Abhinav"/>
        <s v="Deepak"/>
        <s v="Dushyant"/>
        <s v="Ananya"/>
        <s v="Sukant"/>
      </sharedItems>
    </cacheField>
    <cacheField name="ListPrice" numFmtId="3">
      <sharedItems containsSemiMixedTypes="0" containsString="0" containsNumber="1" minValue="28125" maxValue="78750"/>
    </cacheField>
    <cacheField name="ActualPrice" numFmtId="3">
      <sharedItems containsSemiMixedTypes="0" containsString="0" containsNumber="1" containsInteger="1" minValue="22500" maxValue="63000"/>
    </cacheField>
    <cacheField name="Quantity" numFmtId="0">
      <sharedItems containsSemiMixedTypes="0" containsString="0" containsNumber="1" containsInteger="1" minValue="2" maxValue="8"/>
    </cacheField>
    <cacheField name="Region" numFmtId="0">
      <sharedItems/>
    </cacheField>
    <cacheField name="Sales at  List Price" numFmtId="0">
      <sharedItems containsSemiMixedTypes="0" containsString="0" containsNumber="1" containsInteger="1" minValue="95000" maxValue="505000"/>
    </cacheField>
    <cacheField name="Sales at  Actual Price" numFmtId="0">
      <sharedItems containsSemiMixedTypes="0" containsString="0" containsNumber="1" containsInteger="1" minValue="76000" maxValue="40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d v="2024-01-02T00:00:00"/>
    <x v="0"/>
    <x v="0"/>
    <n v="45000"/>
    <n v="36000"/>
    <n v="4"/>
    <s v="East"/>
    <n v="180000"/>
    <n v="144000"/>
  </r>
  <r>
    <d v="2024-01-08T00:00:00"/>
    <x v="1"/>
    <x v="1"/>
    <n v="35000"/>
    <n v="28000"/>
    <n v="5"/>
    <s v="North"/>
    <n v="175000"/>
    <n v="140000"/>
  </r>
  <r>
    <d v="2024-01-18T00:00:00"/>
    <x v="2"/>
    <x v="2"/>
    <n v="56250"/>
    <n v="45000"/>
    <n v="2"/>
    <s v="West"/>
    <n v="112500"/>
    <n v="90000"/>
  </r>
  <r>
    <d v="2024-02-05T00:00:00"/>
    <x v="1"/>
    <x v="1"/>
    <n v="28125"/>
    <n v="22500"/>
    <n v="6"/>
    <s v="East"/>
    <n v="168750"/>
    <n v="135000"/>
  </r>
  <r>
    <d v="2024-02-16T00:00:00"/>
    <x v="3"/>
    <x v="3"/>
    <n v="65000"/>
    <n v="52000"/>
    <n v="4"/>
    <s v="Noth"/>
    <n v="260000"/>
    <n v="208000"/>
  </r>
  <r>
    <d v="2024-02-27T00:00:00"/>
    <x v="0"/>
    <x v="4"/>
    <n v="60000"/>
    <n v="48000"/>
    <n v="6"/>
    <s v="East"/>
    <n v="360000"/>
    <n v="288000"/>
  </r>
  <r>
    <d v="2024-02-28T00:00:00"/>
    <x v="4"/>
    <x v="0"/>
    <n v="40000"/>
    <n v="32000"/>
    <n v="7"/>
    <s v="South"/>
    <n v="280000"/>
    <n v="224000"/>
  </r>
  <r>
    <d v="2024-03-09T00:00:00"/>
    <x v="1"/>
    <x v="1"/>
    <n v="31875"/>
    <n v="25500"/>
    <n v="3"/>
    <s v="West"/>
    <n v="95625"/>
    <n v="76500"/>
  </r>
  <r>
    <d v="2024-03-10T00:00:00"/>
    <x v="3"/>
    <x v="4"/>
    <n v="78750"/>
    <n v="63000"/>
    <n v="2"/>
    <s v="East"/>
    <n v="157500"/>
    <n v="126000"/>
  </r>
  <r>
    <d v="2024-03-17T00:00:00"/>
    <x v="2"/>
    <x v="1"/>
    <n v="61250"/>
    <n v="49000"/>
    <n v="6"/>
    <s v="South"/>
    <n v="367500"/>
    <n v="294000"/>
  </r>
  <r>
    <d v="2024-03-22T00:00:00"/>
    <x v="2"/>
    <x v="3"/>
    <n v="58957.5"/>
    <n v="47166"/>
    <n v="6"/>
    <s v="West"/>
    <n v="353745"/>
    <n v="282996"/>
  </r>
  <r>
    <d v="2024-04-03T00:00:00"/>
    <x v="0"/>
    <x v="4"/>
    <n v="47500"/>
    <n v="38000"/>
    <n v="2"/>
    <s v="North"/>
    <n v="95000"/>
    <n v="76000"/>
  </r>
  <r>
    <d v="2024-04-10T00:00:00"/>
    <x v="5"/>
    <x v="2"/>
    <n v="37500"/>
    <n v="30000"/>
    <n v="4"/>
    <s v="West"/>
    <n v="150000"/>
    <n v="120000"/>
  </r>
  <r>
    <d v="2024-04-15T00:00:00"/>
    <x v="2"/>
    <x v="4"/>
    <n v="63125"/>
    <n v="50500"/>
    <n v="8"/>
    <s v="South"/>
    <n v="505000"/>
    <n v="404000"/>
  </r>
  <r>
    <d v="2024-04-22T00:00:00"/>
    <x v="3"/>
    <x v="2"/>
    <n v="68750"/>
    <n v="55000"/>
    <n v="4"/>
    <s v="South"/>
    <n v="275000"/>
    <n v="220000"/>
  </r>
  <r>
    <d v="2024-04-27T00:00:00"/>
    <x v="5"/>
    <x v="3"/>
    <n v="40000"/>
    <n v="32000"/>
    <n v="6"/>
    <s v="North"/>
    <n v="240000"/>
    <n v="19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954134-81E5-A041-A0E3-AB94A0DCD66B}" name="PivotTable5" cacheId="2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61:C80" firstHeaderRow="0" firstDataRow="1" firstDataCol="1"/>
  <pivotFields count="9">
    <pivotField numFmtId="15" showAll="0"/>
    <pivotField axis="axisRow" showAll="0">
      <items count="7">
        <item x="5"/>
        <item x="2"/>
        <item x="3"/>
        <item x="0"/>
        <item x="4"/>
        <item x="1"/>
        <item t="default"/>
      </items>
    </pivotField>
    <pivotField axis="axisRow" showAll="0">
      <items count="6">
        <item x="0"/>
        <item x="3"/>
        <item x="1"/>
        <item x="2"/>
        <item x="4"/>
        <item t="default"/>
      </items>
    </pivotField>
    <pivotField numFmtId="3" showAll="0"/>
    <pivotField numFmtId="3" showAll="0"/>
    <pivotField showAll="0"/>
    <pivotField showAll="0"/>
    <pivotField dataField="1" showAll="0"/>
    <pivotField dataField="1" showAll="0"/>
  </pivotFields>
  <rowFields count="2">
    <field x="2"/>
    <field x="1"/>
  </rowFields>
  <rowItems count="19">
    <i>
      <x/>
    </i>
    <i r="1">
      <x v="3"/>
    </i>
    <i r="1">
      <x v="4"/>
    </i>
    <i>
      <x v="1"/>
    </i>
    <i r="1">
      <x/>
    </i>
    <i r="1">
      <x v="1"/>
    </i>
    <i r="1">
      <x v="2"/>
    </i>
    <i>
      <x v="2"/>
    </i>
    <i r="1">
      <x v="1"/>
    </i>
    <i r="1">
      <x v="5"/>
    </i>
    <i>
      <x v="3"/>
    </i>
    <i r="1">
      <x/>
    </i>
    <i r="1">
      <x v="1"/>
    </i>
    <i r="1">
      <x v="2"/>
    </i>
    <i>
      <x v="4"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at  List Price" fld="7" baseField="0" baseItem="0"/>
    <dataField name="Sum of Sales at  Actual Price" fld="8" baseField="0" baseItem="0"/>
  </dataFields>
  <formats count="11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2" type="button" dataOnly="0" labelOnly="1" outline="0" axis="axisRow" fieldPosition="0"/>
    </format>
    <format dxfId="20">
      <pivotArea dataOnly="0" labelOnly="1" fieldPosition="0">
        <references count="1">
          <reference field="2" count="0"/>
        </references>
      </pivotArea>
    </format>
    <format dxfId="19">
      <pivotArea dataOnly="0" labelOnly="1" grandRow="1" outline="0" fieldPosition="0"/>
    </format>
    <format dxfId="18">
      <pivotArea dataOnly="0" labelOnly="1" fieldPosition="0">
        <references count="2">
          <reference field="1" count="2">
            <x v="3"/>
            <x v="4"/>
          </reference>
          <reference field="2" count="1" selected="0">
            <x v="0"/>
          </reference>
        </references>
      </pivotArea>
    </format>
    <format dxfId="17">
      <pivotArea dataOnly="0" labelOnly="1" fieldPosition="0">
        <references count="2">
          <reference field="1" count="3">
            <x v="0"/>
            <x v="1"/>
            <x v="2"/>
          </reference>
          <reference field="2" count="1" selected="0">
            <x v="1"/>
          </reference>
        </references>
      </pivotArea>
    </format>
    <format dxfId="16">
      <pivotArea dataOnly="0" labelOnly="1" fieldPosition="0">
        <references count="2">
          <reference field="1" count="2">
            <x v="1"/>
            <x v="5"/>
          </reference>
          <reference field="2" count="1" selected="0">
            <x v="2"/>
          </reference>
        </references>
      </pivotArea>
    </format>
    <format dxfId="15">
      <pivotArea dataOnly="0" labelOnly="1" fieldPosition="0">
        <references count="2">
          <reference field="1" count="3">
            <x v="0"/>
            <x v="1"/>
            <x v="2"/>
          </reference>
          <reference field="2" count="1" selected="0">
            <x v="3"/>
          </reference>
        </references>
      </pivotArea>
    </format>
    <format dxfId="14">
      <pivotArea dataOnly="0" labelOnly="1" fieldPosition="0">
        <references count="2">
          <reference field="1" count="3">
            <x v="1"/>
            <x v="2"/>
            <x v="3"/>
          </reference>
          <reference field="2" count="1" selected="0">
            <x v="4"/>
          </reference>
        </references>
      </pivotArea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2DF6F0-BE3E-594E-9088-FC9C9BD6B170}" name="PivotTable2" cacheId="2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23:C30" firstHeaderRow="0" firstDataRow="1" firstDataCol="1"/>
  <pivotFields count="9">
    <pivotField numFmtId="15" showAll="0"/>
    <pivotField axis="axisRow" showAll="0">
      <items count="7">
        <item x="5"/>
        <item x="2"/>
        <item x="3"/>
        <item x="0"/>
        <item x="4"/>
        <item x="1"/>
        <item t="default"/>
      </items>
    </pivotField>
    <pivotField showAll="0"/>
    <pivotField numFmtId="3" showAll="0"/>
    <pivotField numFmtId="3" showAll="0"/>
    <pivotField showAll="0"/>
    <pivotField showAll="0"/>
    <pivotField dataField="1"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at  List Price" fld="7" baseField="0" baseItem="0"/>
    <dataField name="Sum of Sales at  Actual Price" fld="8" baseField="0" baseItem="0"/>
  </dataFields>
  <formats count="6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" type="button" dataOnly="0" labelOnly="1" outline="0" axis="axisRow" fieldPosition="0"/>
    </format>
    <format dxfId="26">
      <pivotArea dataOnly="0" labelOnly="1" fieldPosition="0">
        <references count="1">
          <reference field="1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CA67C5-3D03-B341-9DCE-65C0ECA079E3}" name="PivotTable4" cacheId="2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42:C48" firstHeaderRow="0" firstDataRow="1" firstDataCol="1"/>
  <pivotFields count="9">
    <pivotField numFmtId="15" showAll="0"/>
    <pivotField showAll="0"/>
    <pivotField axis="axisRow" showAll="0">
      <items count="6">
        <item x="0"/>
        <item x="3"/>
        <item x="1"/>
        <item x="2"/>
        <item x="4"/>
        <item t="default"/>
      </items>
    </pivotField>
    <pivotField numFmtId="3" showAll="0"/>
    <pivotField numFmtId="3" showAll="0"/>
    <pivotField showAll="0"/>
    <pivotField showAll="0"/>
    <pivotField dataField="1"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at  List Price" fld="7" baseField="0" baseItem="0"/>
    <dataField name="Sum of Sales at  Actual Price" fld="8" baseField="0" baseItem="0"/>
  </dataFields>
  <formats count="6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2" type="button" dataOnly="0" labelOnly="1" outline="0" axis="axisRow" fieldPosition="0"/>
    </format>
    <format dxfId="32">
      <pivotArea dataOnly="0" labelOnly="1" fieldPosition="0">
        <references count="1">
          <reference field="2" count="0"/>
        </references>
      </pivotArea>
    </format>
    <format dxfId="31">
      <pivotArea dataOnly="0" labelOnly="1" grandRow="1" outline="0" fieldPosition="0"/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E7C41A-A561-7B47-B654-BDAD10507065}" name="Table7" displayName="Table7" ref="A2:I19" totalsRowShown="0" headerRowDxfId="12" headerRowBorderDxfId="11" tableBorderDxfId="10" totalsRowBorderDxfId="9">
  <tableColumns count="9">
    <tableColumn id="1" xr3:uid="{583D6405-FDB3-7540-896B-1942E8147845}" name="Date" dataDxfId="8"/>
    <tableColumn id="2" xr3:uid="{0072419B-E56F-8B43-8289-3F165E73ED8F}" name="Product" dataDxfId="7"/>
    <tableColumn id="3" xr3:uid="{2FABFBE1-3886-B54A-93DE-94EE63B5996D}" name="SoldBy" dataDxfId="6"/>
    <tableColumn id="4" xr3:uid="{A27EA6B6-3FC1-644D-8EB7-2AC782320AB0}" name="ListPrice" dataDxfId="5"/>
    <tableColumn id="5" xr3:uid="{4BC09B23-89B4-F749-96FC-4C174CF49480}" name="ActualPrice" dataDxfId="4"/>
    <tableColumn id="6" xr3:uid="{E93ECC6C-D1A7-6C4D-9A7C-6B03E4E202D2}" name="Quantity" dataDxfId="3"/>
    <tableColumn id="7" xr3:uid="{774D15D3-365A-C145-A5C4-BFC5DCA2FBE8}" name="Region" dataDxfId="2"/>
    <tableColumn id="10" xr3:uid="{341BE45C-15AB-DA41-BE15-AB2E4ECDB62D}" name="Sales at  List Price" dataDxfId="1">
      <calculatedColumnFormula>Table7[[#This Row],[ListPrice]]*Table7[[#This Row],[Quantity]]</calculatedColumnFormula>
    </tableColumn>
    <tableColumn id="11" xr3:uid="{18E080CE-613F-074E-879B-AB9FF5E15BC6}" name="Sales at  Actual Price" dataDxfId="0">
      <calculatedColumnFormula>Table7[[#This Row],[ActualPrice]]*Table7[[#This Row],[Quantity]]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2F7A5-84A3-194B-9ECC-EBA28FA68B42}">
  <dimension ref="A1:A30"/>
  <sheetViews>
    <sheetView workbookViewId="0">
      <selection activeCell="A23" sqref="A23:A30"/>
    </sheetView>
  </sheetViews>
  <sheetFormatPr baseColWidth="10" defaultRowHeight="15" x14ac:dyDescent="0.2"/>
  <sheetData>
    <row r="1" spans="1:1" ht="19" x14ac:dyDescent="0.25">
      <c r="A1" s="114" t="s">
        <v>131</v>
      </c>
    </row>
    <row r="2" spans="1:1" x14ac:dyDescent="0.2">
      <c r="A2" s="63" t="s">
        <v>132</v>
      </c>
    </row>
    <row r="5" spans="1:1" ht="19" x14ac:dyDescent="0.25">
      <c r="A5" s="114" t="s">
        <v>133</v>
      </c>
    </row>
    <row r="6" spans="1:1" x14ac:dyDescent="0.2">
      <c r="A6" t="s">
        <v>134</v>
      </c>
    </row>
    <row r="9" spans="1:1" ht="19" x14ac:dyDescent="0.25">
      <c r="A9" s="114" t="s">
        <v>135</v>
      </c>
    </row>
    <row r="10" spans="1:1" x14ac:dyDescent="0.2">
      <c r="A10" t="s">
        <v>136</v>
      </c>
    </row>
    <row r="13" spans="1:1" ht="19" x14ac:dyDescent="0.25">
      <c r="A13" s="114" t="s">
        <v>137</v>
      </c>
    </row>
    <row r="14" spans="1:1" x14ac:dyDescent="0.2">
      <c r="A14" t="s">
        <v>138</v>
      </c>
    </row>
    <row r="15" spans="1:1" x14ac:dyDescent="0.2">
      <c r="A15" t="s">
        <v>139</v>
      </c>
    </row>
    <row r="16" spans="1:1" x14ac:dyDescent="0.2">
      <c r="A16" t="s">
        <v>140</v>
      </c>
    </row>
    <row r="17" spans="1:1" x14ac:dyDescent="0.2">
      <c r="A17" t="s">
        <v>111</v>
      </c>
    </row>
    <row r="18" spans="1:1" x14ac:dyDescent="0.2">
      <c r="A18" t="s">
        <v>141</v>
      </c>
    </row>
    <row r="19" spans="1:1" x14ac:dyDescent="0.2">
      <c r="A19" t="s">
        <v>142</v>
      </c>
    </row>
    <row r="22" spans="1:1" ht="19" x14ac:dyDescent="0.25">
      <c r="A22" s="114" t="s">
        <v>143</v>
      </c>
    </row>
    <row r="23" spans="1:1" x14ac:dyDescent="0.2">
      <c r="A23" t="s">
        <v>144</v>
      </c>
    </row>
    <row r="24" spans="1:1" x14ac:dyDescent="0.2">
      <c r="A24" t="s">
        <v>145</v>
      </c>
    </row>
    <row r="25" spans="1:1" x14ac:dyDescent="0.2">
      <c r="A25" t="s">
        <v>146</v>
      </c>
    </row>
    <row r="26" spans="1:1" x14ac:dyDescent="0.2">
      <c r="A26" t="s">
        <v>147</v>
      </c>
    </row>
    <row r="27" spans="1:1" x14ac:dyDescent="0.2">
      <c r="A27" t="s">
        <v>148</v>
      </c>
    </row>
    <row r="28" spans="1:1" x14ac:dyDescent="0.2">
      <c r="A28" t="s">
        <v>149</v>
      </c>
    </row>
    <row r="29" spans="1:1" x14ac:dyDescent="0.2">
      <c r="A29" t="s">
        <v>150</v>
      </c>
    </row>
    <row r="30" spans="1:1" x14ac:dyDescent="0.2">
      <c r="A30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49F97-CFCE-754E-9342-8923C7BA48BF}">
  <sheetPr>
    <tabColor rgb="FF92D050"/>
  </sheetPr>
  <dimension ref="A1:AF232"/>
  <sheetViews>
    <sheetView zoomScale="99" zoomScaleNormal="140" workbookViewId="0">
      <selection activeCell="D34" sqref="D34"/>
    </sheetView>
  </sheetViews>
  <sheetFormatPr baseColWidth="10" defaultColWidth="8.83203125" defaultRowHeight="15" x14ac:dyDescent="0.2"/>
  <cols>
    <col min="1" max="1" width="6.83203125" customWidth="1"/>
    <col min="2" max="2" width="7.83203125" style="9" customWidth="1"/>
    <col min="3" max="3" width="11.5" customWidth="1"/>
    <col min="4" max="4" width="13.5" bestFit="1" customWidth="1"/>
    <col min="5" max="5" width="13.33203125" customWidth="1"/>
    <col min="6" max="6" width="14.1640625" customWidth="1"/>
    <col min="7" max="7" width="8.83203125" customWidth="1"/>
    <col min="8" max="8" width="7.5" bestFit="1" customWidth="1"/>
    <col min="9" max="10" width="9.5" customWidth="1"/>
    <col min="11" max="11" width="11" customWidth="1"/>
    <col min="12" max="13" width="7.5" customWidth="1"/>
    <col min="14" max="15" width="7.5" bestFit="1" customWidth="1"/>
    <col min="16" max="17" width="11.33203125" bestFit="1" customWidth="1"/>
  </cols>
  <sheetData>
    <row r="1" spans="1:27" ht="19" x14ac:dyDescent="0.25">
      <c r="A1" s="1" t="s">
        <v>0</v>
      </c>
      <c r="B1" s="2">
        <v>50</v>
      </c>
      <c r="C1" s="2">
        <v>62</v>
      </c>
      <c r="D1" s="2">
        <v>68</v>
      </c>
      <c r="E1" s="2">
        <v>75</v>
      </c>
      <c r="F1" s="2">
        <v>80</v>
      </c>
      <c r="G1" s="2">
        <v>86</v>
      </c>
      <c r="H1" s="2">
        <v>90</v>
      </c>
      <c r="I1" s="2">
        <v>93</v>
      </c>
      <c r="J1" s="2">
        <v>95</v>
      </c>
      <c r="K1" s="3">
        <v>100</v>
      </c>
      <c r="M1" s="4" t="s">
        <v>1</v>
      </c>
      <c r="N1" s="5"/>
    </row>
    <row r="2" spans="1:27" ht="16" thickBot="1" x14ac:dyDescent="0.25">
      <c r="A2" s="6" t="s">
        <v>2</v>
      </c>
      <c r="B2" s="7">
        <v>4</v>
      </c>
      <c r="C2" s="7">
        <v>6</v>
      </c>
      <c r="D2" s="7">
        <v>8</v>
      </c>
      <c r="E2" s="7">
        <v>9</v>
      </c>
      <c r="F2" s="7">
        <v>11</v>
      </c>
      <c r="G2" s="7">
        <v>12</v>
      </c>
      <c r="H2" s="7">
        <v>14</v>
      </c>
      <c r="I2" s="7">
        <v>15</v>
      </c>
      <c r="J2" s="7">
        <v>16</v>
      </c>
      <c r="K2" s="8">
        <v>20</v>
      </c>
    </row>
    <row r="3" spans="1:27" ht="19" x14ac:dyDescent="0.25">
      <c r="M3" s="10" t="s">
        <v>3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2"/>
      <c r="Y3" s="12"/>
      <c r="Z3" s="12"/>
      <c r="AA3" s="12"/>
    </row>
    <row r="10" spans="1:27" x14ac:dyDescent="0.2">
      <c r="C10" s="13"/>
    </row>
    <row r="11" spans="1:27" x14ac:dyDescent="0.2">
      <c r="C11" s="13"/>
    </row>
    <row r="19" spans="1:32" ht="19" x14ac:dyDescent="0.25">
      <c r="C19" s="4"/>
    </row>
    <row r="20" spans="1:32" ht="16" thickBot="1" x14ac:dyDescent="0.25">
      <c r="A20" s="14" t="s">
        <v>4</v>
      </c>
    </row>
    <row r="21" spans="1:32" ht="16" thickBot="1" x14ac:dyDescent="0.25">
      <c r="A21" s="15" t="s">
        <v>5</v>
      </c>
      <c r="B21" s="16">
        <v>2015</v>
      </c>
      <c r="C21" s="16">
        <v>2016</v>
      </c>
      <c r="D21" s="16">
        <v>2017</v>
      </c>
      <c r="E21" s="16">
        <v>2018</v>
      </c>
      <c r="F21" s="16">
        <v>2019</v>
      </c>
      <c r="G21" s="16">
        <v>2020</v>
      </c>
      <c r="H21" s="16">
        <v>2021</v>
      </c>
      <c r="I21" s="16">
        <v>2022</v>
      </c>
      <c r="J21" s="16">
        <v>2023</v>
      </c>
      <c r="K21" s="17">
        <v>2024</v>
      </c>
    </row>
    <row r="22" spans="1:32" x14ac:dyDescent="0.2">
      <c r="A22" s="18" t="s">
        <v>0</v>
      </c>
      <c r="B22" s="19">
        <v>30</v>
      </c>
      <c r="C22" s="19">
        <v>22</v>
      </c>
      <c r="D22" s="19">
        <v>33</v>
      </c>
      <c r="E22" s="19">
        <v>42</v>
      </c>
      <c r="F22" s="19">
        <v>52</v>
      </c>
      <c r="G22" s="19">
        <v>72</v>
      </c>
      <c r="H22" s="19">
        <v>94</v>
      </c>
      <c r="I22" s="19">
        <v>108</v>
      </c>
      <c r="J22" s="19">
        <v>102</v>
      </c>
      <c r="K22" s="20">
        <v>110</v>
      </c>
      <c r="M22" s="21" t="s">
        <v>6</v>
      </c>
      <c r="N22" s="21" t="s">
        <v>7</v>
      </c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</row>
    <row r="23" spans="1:32" x14ac:dyDescent="0.2">
      <c r="A23" s="22" t="s">
        <v>8</v>
      </c>
      <c r="B23" s="23">
        <f t="array" ref="B23:K23">TREND(B22:K22)</f>
        <v>16.563636363636355</v>
      </c>
      <c r="C23" s="24">
        <v>27.660606060606053</v>
      </c>
      <c r="D23" s="24">
        <v>38.757575757575751</v>
      </c>
      <c r="E23" s="24">
        <v>49.854545454545452</v>
      </c>
      <c r="F23" s="24">
        <v>60.951515151515153</v>
      </c>
      <c r="G23" s="24">
        <v>72.048484848484847</v>
      </c>
      <c r="H23" s="24">
        <v>83.145454545454555</v>
      </c>
      <c r="I23" s="24">
        <v>94.242424242424249</v>
      </c>
      <c r="J23" s="24">
        <v>105.33939393939394</v>
      </c>
      <c r="K23" s="24">
        <v>116.43636363636365</v>
      </c>
      <c r="N23" s="21" t="s">
        <v>9</v>
      </c>
      <c r="O23" s="21"/>
      <c r="P23" s="21"/>
      <c r="Q23" s="21"/>
      <c r="R23" s="21"/>
      <c r="S23" s="21"/>
      <c r="T23" s="21"/>
      <c r="U23" s="21"/>
      <c r="V23" s="21"/>
      <c r="W23" s="21"/>
      <c r="X23" s="25"/>
    </row>
    <row r="42" spans="1:10" ht="19" x14ac:dyDescent="0.25">
      <c r="A42" s="14" t="s">
        <v>10</v>
      </c>
      <c r="C42" s="107"/>
      <c r="D42" s="107"/>
      <c r="E42" s="108"/>
      <c r="F42" s="108"/>
    </row>
    <row r="43" spans="1:10" ht="16" thickBot="1" x14ac:dyDescent="0.25"/>
    <row r="44" spans="1:10" x14ac:dyDescent="0.2">
      <c r="A44" s="26">
        <v>26</v>
      </c>
      <c r="B44" s="27">
        <v>29</v>
      </c>
      <c r="C44" s="27">
        <v>12</v>
      </c>
      <c r="D44" s="27">
        <v>70</v>
      </c>
      <c r="E44" s="27">
        <v>28</v>
      </c>
      <c r="F44" s="27">
        <v>3</v>
      </c>
      <c r="G44" s="27">
        <v>68</v>
      </c>
      <c r="H44" s="27">
        <v>10</v>
      </c>
      <c r="I44" s="27">
        <v>76</v>
      </c>
      <c r="J44" s="28">
        <v>39</v>
      </c>
    </row>
    <row r="45" spans="1:10" x14ac:dyDescent="0.2">
      <c r="A45" s="29">
        <v>36</v>
      </c>
      <c r="B45" s="30">
        <v>94</v>
      </c>
      <c r="C45" s="30">
        <v>40</v>
      </c>
      <c r="D45" s="30">
        <v>55</v>
      </c>
      <c r="E45" s="30">
        <v>38</v>
      </c>
      <c r="F45" s="30">
        <v>29</v>
      </c>
      <c r="G45" s="30">
        <v>27</v>
      </c>
      <c r="H45" s="30">
        <v>68</v>
      </c>
      <c r="I45" s="30">
        <v>50</v>
      </c>
      <c r="J45" s="31">
        <v>24</v>
      </c>
    </row>
    <row r="46" spans="1:10" x14ac:dyDescent="0.2">
      <c r="A46" s="29">
        <v>55</v>
      </c>
      <c r="B46" s="30">
        <v>32</v>
      </c>
      <c r="C46" s="30">
        <v>59</v>
      </c>
      <c r="D46" s="30">
        <v>52</v>
      </c>
      <c r="E46" s="30">
        <v>89</v>
      </c>
      <c r="F46" s="30">
        <v>1</v>
      </c>
      <c r="G46" s="30">
        <v>52</v>
      </c>
      <c r="H46" s="30">
        <v>43</v>
      </c>
      <c r="I46" s="30">
        <v>81</v>
      </c>
      <c r="J46" s="31">
        <v>50</v>
      </c>
    </row>
    <row r="47" spans="1:10" x14ac:dyDescent="0.2">
      <c r="A47" s="29">
        <v>4</v>
      </c>
      <c r="B47" s="30">
        <v>44</v>
      </c>
      <c r="C47" s="30">
        <v>63</v>
      </c>
      <c r="D47" s="30">
        <v>93</v>
      </c>
      <c r="E47" s="30">
        <v>38</v>
      </c>
      <c r="F47" s="30">
        <v>34</v>
      </c>
      <c r="G47" s="30">
        <v>32</v>
      </c>
      <c r="H47" s="30">
        <v>66</v>
      </c>
      <c r="I47" s="30">
        <v>7</v>
      </c>
      <c r="J47" s="31">
        <v>54</v>
      </c>
    </row>
    <row r="48" spans="1:10" x14ac:dyDescent="0.2">
      <c r="A48" s="29">
        <v>30</v>
      </c>
      <c r="B48" s="30">
        <v>15</v>
      </c>
      <c r="C48" s="30">
        <v>3</v>
      </c>
      <c r="D48" s="30">
        <v>45</v>
      </c>
      <c r="E48" s="30">
        <v>64</v>
      </c>
      <c r="F48" s="30">
        <v>57</v>
      </c>
      <c r="G48" s="30">
        <v>25</v>
      </c>
      <c r="H48" s="30">
        <v>85</v>
      </c>
      <c r="I48" s="30">
        <v>70</v>
      </c>
      <c r="J48" s="31">
        <v>83</v>
      </c>
    </row>
    <row r="49" spans="1:10" x14ac:dyDescent="0.2">
      <c r="A49" s="29">
        <v>97</v>
      </c>
      <c r="B49" s="30">
        <v>24</v>
      </c>
      <c r="C49" s="30">
        <v>48</v>
      </c>
      <c r="D49" s="30">
        <v>8</v>
      </c>
      <c r="E49" s="30">
        <v>34</v>
      </c>
      <c r="F49" s="30">
        <v>37</v>
      </c>
      <c r="G49" s="30">
        <v>60</v>
      </c>
      <c r="H49" s="30">
        <v>64</v>
      </c>
      <c r="I49" s="30">
        <v>41</v>
      </c>
      <c r="J49" s="31">
        <v>10</v>
      </c>
    </row>
    <row r="50" spans="1:10" x14ac:dyDescent="0.2">
      <c r="A50" s="29">
        <v>100</v>
      </c>
      <c r="B50" s="30">
        <v>14</v>
      </c>
      <c r="C50" s="30">
        <v>41</v>
      </c>
      <c r="D50" s="30">
        <v>10</v>
      </c>
      <c r="E50" s="30">
        <v>38</v>
      </c>
      <c r="F50" s="30">
        <v>65</v>
      </c>
      <c r="G50" s="30">
        <v>58</v>
      </c>
      <c r="H50" s="30">
        <v>45</v>
      </c>
      <c r="I50" s="30">
        <v>72</v>
      </c>
      <c r="J50" s="31">
        <v>14</v>
      </c>
    </row>
    <row r="51" spans="1:10" x14ac:dyDescent="0.2">
      <c r="A51" s="29">
        <v>94</v>
      </c>
      <c r="B51" s="30">
        <v>43</v>
      </c>
      <c r="C51" s="30">
        <v>75</v>
      </c>
      <c r="D51" s="30">
        <v>98</v>
      </c>
      <c r="E51" s="30">
        <v>37</v>
      </c>
      <c r="F51" s="30">
        <v>71</v>
      </c>
      <c r="G51" s="30">
        <v>74</v>
      </c>
      <c r="H51" s="30">
        <v>28</v>
      </c>
      <c r="I51" s="30">
        <v>16</v>
      </c>
      <c r="J51" s="31">
        <v>9</v>
      </c>
    </row>
    <row r="52" spans="1:10" x14ac:dyDescent="0.2">
      <c r="A52" s="29">
        <v>25</v>
      </c>
      <c r="B52" s="30">
        <v>76</v>
      </c>
      <c r="C52" s="30">
        <v>78</v>
      </c>
      <c r="D52" s="30">
        <v>18</v>
      </c>
      <c r="E52" s="30">
        <v>40</v>
      </c>
      <c r="F52" s="30">
        <v>88</v>
      </c>
      <c r="G52" s="30">
        <v>56</v>
      </c>
      <c r="H52" s="30">
        <v>46</v>
      </c>
      <c r="I52" s="30">
        <v>61</v>
      </c>
      <c r="J52" s="31">
        <v>81</v>
      </c>
    </row>
    <row r="53" spans="1:10" ht="16" thickBot="1" x14ac:dyDescent="0.25">
      <c r="A53" s="32">
        <v>42</v>
      </c>
      <c r="B53" s="33">
        <v>68</v>
      </c>
      <c r="C53" s="33">
        <v>85</v>
      </c>
      <c r="D53" s="33">
        <v>56</v>
      </c>
      <c r="E53" s="33">
        <v>54</v>
      </c>
      <c r="F53" s="33">
        <v>33</v>
      </c>
      <c r="G53" s="33">
        <v>86</v>
      </c>
      <c r="H53" s="33">
        <v>47</v>
      </c>
      <c r="I53" s="33">
        <v>20</v>
      </c>
      <c r="J53" s="34">
        <v>41</v>
      </c>
    </row>
    <row r="55" spans="1:10" x14ac:dyDescent="0.2">
      <c r="A55" s="109" t="s">
        <v>11</v>
      </c>
      <c r="B55" s="109"/>
      <c r="C55" s="109"/>
      <c r="D55" s="35" t="s">
        <v>12</v>
      </c>
    </row>
    <row r="56" spans="1:10" x14ac:dyDescent="0.2">
      <c r="A56" s="30">
        <v>0</v>
      </c>
      <c r="B56" s="36" t="s">
        <v>13</v>
      </c>
      <c r="C56" s="30">
        <v>10</v>
      </c>
      <c r="D56" s="35">
        <f t="array" ref="D56:D65">FREQUENCY(A44:J53,C56:C65)</f>
        <v>10</v>
      </c>
    </row>
    <row r="57" spans="1:10" x14ac:dyDescent="0.2">
      <c r="A57" s="30">
        <v>10</v>
      </c>
      <c r="B57" s="36" t="s">
        <v>13</v>
      </c>
      <c r="C57" s="30">
        <v>20</v>
      </c>
      <c r="D57" s="35">
        <v>7</v>
      </c>
    </row>
    <row r="58" spans="1:10" x14ac:dyDescent="0.2">
      <c r="A58" s="30">
        <v>20</v>
      </c>
      <c r="B58" s="36" t="s">
        <v>13</v>
      </c>
      <c r="C58" s="30">
        <v>30</v>
      </c>
      <c r="D58" s="35">
        <v>11</v>
      </c>
    </row>
    <row r="59" spans="1:10" x14ac:dyDescent="0.2">
      <c r="A59" s="30">
        <v>30</v>
      </c>
      <c r="B59" s="36" t="s">
        <v>13</v>
      </c>
      <c r="C59" s="30">
        <v>40</v>
      </c>
      <c r="D59" s="35">
        <v>14</v>
      </c>
    </row>
    <row r="60" spans="1:10" x14ac:dyDescent="0.2">
      <c r="A60" s="30">
        <v>40</v>
      </c>
      <c r="B60" s="36" t="s">
        <v>13</v>
      </c>
      <c r="C60" s="30">
        <v>50</v>
      </c>
      <c r="D60" s="35">
        <v>14</v>
      </c>
    </row>
    <row r="61" spans="1:10" x14ac:dyDescent="0.2">
      <c r="A61" s="30">
        <v>50</v>
      </c>
      <c r="B61" s="36" t="s">
        <v>13</v>
      </c>
      <c r="C61" s="30">
        <v>60</v>
      </c>
      <c r="D61" s="35">
        <v>12</v>
      </c>
    </row>
    <row r="62" spans="1:10" x14ac:dyDescent="0.2">
      <c r="A62" s="30">
        <v>60</v>
      </c>
      <c r="B62" s="36" t="s">
        <v>13</v>
      </c>
      <c r="C62" s="30">
        <v>70</v>
      </c>
      <c r="D62" s="35">
        <v>11</v>
      </c>
    </row>
    <row r="63" spans="1:10" x14ac:dyDescent="0.2">
      <c r="A63" s="30">
        <v>70</v>
      </c>
      <c r="B63" s="36" t="s">
        <v>13</v>
      </c>
      <c r="C63" s="30">
        <v>80</v>
      </c>
      <c r="D63" s="35">
        <v>7</v>
      </c>
    </row>
    <row r="64" spans="1:10" x14ac:dyDescent="0.2">
      <c r="A64" s="30">
        <v>80</v>
      </c>
      <c r="B64" s="36" t="s">
        <v>13</v>
      </c>
      <c r="C64" s="30">
        <v>90</v>
      </c>
      <c r="D64" s="35">
        <v>8</v>
      </c>
    </row>
    <row r="65" spans="1:4" x14ac:dyDescent="0.2">
      <c r="A65" s="30">
        <v>90</v>
      </c>
      <c r="B65" s="36" t="s">
        <v>13</v>
      </c>
      <c r="C65" s="30">
        <v>100</v>
      </c>
      <c r="D65" s="35">
        <v>6</v>
      </c>
    </row>
    <row r="66" spans="1:4" x14ac:dyDescent="0.2">
      <c r="B66"/>
      <c r="C66" s="37"/>
    </row>
    <row r="67" spans="1:4" x14ac:dyDescent="0.2">
      <c r="B67"/>
    </row>
    <row r="68" spans="1:4" x14ac:dyDescent="0.2">
      <c r="B68"/>
    </row>
    <row r="73" spans="1:4" ht="18" customHeight="1" x14ac:dyDescent="0.2"/>
    <row r="74" spans="1:4" ht="18" customHeight="1" x14ac:dyDescent="0.2"/>
    <row r="97" spans="2:2" x14ac:dyDescent="0.2">
      <c r="B97"/>
    </row>
    <row r="98" spans="2:2" x14ac:dyDescent="0.2">
      <c r="B98"/>
    </row>
    <row r="99" spans="2:2" x14ac:dyDescent="0.2">
      <c r="B99"/>
    </row>
    <row r="100" spans="2:2" x14ac:dyDescent="0.2">
      <c r="B100"/>
    </row>
    <row r="101" spans="2:2" x14ac:dyDescent="0.2">
      <c r="B101"/>
    </row>
    <row r="102" spans="2:2" x14ac:dyDescent="0.2">
      <c r="B102"/>
    </row>
    <row r="103" spans="2:2" x14ac:dyDescent="0.2">
      <c r="B103"/>
    </row>
    <row r="104" spans="2:2" x14ac:dyDescent="0.2">
      <c r="B104"/>
    </row>
    <row r="105" spans="2:2" x14ac:dyDescent="0.2">
      <c r="B105"/>
    </row>
    <row r="106" spans="2:2" x14ac:dyDescent="0.2">
      <c r="B106"/>
    </row>
    <row r="107" spans="2:2" x14ac:dyDescent="0.2">
      <c r="B107"/>
    </row>
    <row r="108" spans="2:2" x14ac:dyDescent="0.2">
      <c r="B108"/>
    </row>
    <row r="109" spans="2:2" x14ac:dyDescent="0.2">
      <c r="B109"/>
    </row>
    <row r="114" spans="1:13" ht="19" x14ac:dyDescent="0.2">
      <c r="A114" s="110" t="s">
        <v>14</v>
      </c>
      <c r="B114" s="110"/>
    </row>
    <row r="115" spans="1:13" ht="16" x14ac:dyDescent="0.2">
      <c r="C115" s="38" t="s">
        <v>15</v>
      </c>
      <c r="D115" s="39">
        <v>22</v>
      </c>
      <c r="E115" s="39">
        <v>43</v>
      </c>
      <c r="F115" s="39">
        <v>12</v>
      </c>
      <c r="G115" s="39">
        <v>37</v>
      </c>
      <c r="H115" s="39">
        <v>29</v>
      </c>
      <c r="I115" s="39">
        <v>42</v>
      </c>
      <c r="J115" s="39">
        <v>32</v>
      </c>
      <c r="K115" s="39">
        <v>38</v>
      </c>
      <c r="L115" s="39">
        <v>15</v>
      </c>
      <c r="M115" s="39">
        <v>33</v>
      </c>
    </row>
    <row r="116" spans="1:13" ht="16" x14ac:dyDescent="0.2">
      <c r="C116" s="38" t="s">
        <v>16</v>
      </c>
      <c r="D116" s="39">
        <v>17</v>
      </c>
      <c r="E116" s="39">
        <v>29</v>
      </c>
      <c r="F116" s="39">
        <v>21</v>
      </c>
      <c r="G116" s="39">
        <v>34</v>
      </c>
      <c r="H116" s="39">
        <v>31</v>
      </c>
      <c r="I116" s="39">
        <v>27</v>
      </c>
      <c r="J116" s="39">
        <v>35</v>
      </c>
      <c r="K116" s="39">
        <v>28</v>
      </c>
      <c r="L116" s="39">
        <v>30</v>
      </c>
      <c r="M116" s="39">
        <v>32</v>
      </c>
    </row>
    <row r="117" spans="1:13" ht="16" x14ac:dyDescent="0.2">
      <c r="C117" s="40"/>
      <c r="D117" s="41"/>
      <c r="E117" s="41"/>
      <c r="F117" s="41"/>
      <c r="G117" s="41"/>
      <c r="H117" s="41"/>
      <c r="I117" s="41"/>
      <c r="J117" s="41"/>
      <c r="K117" s="41"/>
      <c r="L117" s="41"/>
      <c r="M117" s="41"/>
    </row>
    <row r="118" spans="1:13" x14ac:dyDescent="0.2">
      <c r="B118"/>
    </row>
    <row r="119" spans="1:13" x14ac:dyDescent="0.2">
      <c r="B119"/>
    </row>
    <row r="120" spans="1:13" x14ac:dyDescent="0.2">
      <c r="B120"/>
    </row>
    <row r="121" spans="1:13" x14ac:dyDescent="0.2">
      <c r="B121"/>
    </row>
    <row r="122" spans="1:13" x14ac:dyDescent="0.2">
      <c r="B122"/>
    </row>
    <row r="123" spans="1:13" x14ac:dyDescent="0.2">
      <c r="B123"/>
    </row>
    <row r="124" spans="1:13" x14ac:dyDescent="0.2">
      <c r="B124"/>
    </row>
    <row r="125" spans="1:13" x14ac:dyDescent="0.2">
      <c r="B125"/>
    </row>
    <row r="126" spans="1:13" x14ac:dyDescent="0.2">
      <c r="B126"/>
    </row>
    <row r="127" spans="1:13" x14ac:dyDescent="0.2">
      <c r="B127"/>
    </row>
    <row r="128" spans="1:13" x14ac:dyDescent="0.2">
      <c r="B128"/>
    </row>
    <row r="129" spans="2:4" x14ac:dyDescent="0.2">
      <c r="B129"/>
    </row>
    <row r="130" spans="2:4" x14ac:dyDescent="0.2">
      <c r="B130"/>
    </row>
    <row r="131" spans="2:4" x14ac:dyDescent="0.2">
      <c r="B131" s="42"/>
      <c r="C131" s="9"/>
      <c r="D131" s="9"/>
    </row>
    <row r="135" spans="2:4" x14ac:dyDescent="0.2">
      <c r="B135"/>
    </row>
    <row r="136" spans="2:4" x14ac:dyDescent="0.2">
      <c r="B136"/>
    </row>
    <row r="137" spans="2:4" x14ac:dyDescent="0.2">
      <c r="B137"/>
    </row>
    <row r="138" spans="2:4" x14ac:dyDescent="0.2">
      <c r="B138"/>
    </row>
    <row r="139" spans="2:4" x14ac:dyDescent="0.2">
      <c r="B139"/>
    </row>
    <row r="140" spans="2:4" x14ac:dyDescent="0.2">
      <c r="B140"/>
    </row>
    <row r="141" spans="2:4" x14ac:dyDescent="0.2">
      <c r="B141"/>
    </row>
    <row r="142" spans="2:4" x14ac:dyDescent="0.2">
      <c r="B142"/>
    </row>
    <row r="143" spans="2:4" x14ac:dyDescent="0.2">
      <c r="B143"/>
    </row>
    <row r="144" spans="2:4" x14ac:dyDescent="0.2">
      <c r="B144"/>
    </row>
    <row r="145" spans="2:8" x14ac:dyDescent="0.2">
      <c r="B145"/>
    </row>
    <row r="146" spans="2:8" x14ac:dyDescent="0.2">
      <c r="B146"/>
    </row>
    <row r="147" spans="2:8" x14ac:dyDescent="0.2">
      <c r="B147"/>
    </row>
    <row r="148" spans="2:8" x14ac:dyDescent="0.2">
      <c r="B148"/>
    </row>
    <row r="149" spans="2:8" x14ac:dyDescent="0.2">
      <c r="B149"/>
    </row>
    <row r="151" spans="2:8" x14ac:dyDescent="0.2">
      <c r="F151" s="43"/>
      <c r="G151" s="44"/>
      <c r="H151" s="9"/>
    </row>
    <row r="152" spans="2:8" x14ac:dyDescent="0.2">
      <c r="F152" s="43"/>
      <c r="G152" s="44"/>
      <c r="H152" s="9"/>
    </row>
    <row r="153" spans="2:8" x14ac:dyDescent="0.2">
      <c r="F153" s="43"/>
      <c r="G153" s="44"/>
      <c r="H153" s="9"/>
    </row>
    <row r="154" spans="2:8" x14ac:dyDescent="0.2">
      <c r="F154" s="43"/>
      <c r="G154" s="44"/>
      <c r="H154" s="9"/>
    </row>
    <row r="155" spans="2:8" x14ac:dyDescent="0.2">
      <c r="F155" s="43"/>
      <c r="G155" s="44"/>
      <c r="H155" s="9"/>
    </row>
    <row r="156" spans="2:8" ht="19" x14ac:dyDescent="0.25">
      <c r="B156" s="111" t="s">
        <v>17</v>
      </c>
      <c r="C156" s="111"/>
      <c r="D156" s="111"/>
      <c r="F156" s="43"/>
      <c r="G156" s="44"/>
      <c r="H156" s="9"/>
    </row>
    <row r="158" spans="2:8" ht="17" thickBot="1" x14ac:dyDescent="0.25">
      <c r="B158" s="36"/>
      <c r="C158" s="45" t="s">
        <v>18</v>
      </c>
      <c r="D158" s="45" t="s">
        <v>19</v>
      </c>
      <c r="E158" s="45" t="s">
        <v>20</v>
      </c>
    </row>
    <row r="159" spans="2:8" ht="16" x14ac:dyDescent="0.2">
      <c r="B159" s="46">
        <v>1</v>
      </c>
      <c r="C159" s="47" t="s">
        <v>21</v>
      </c>
      <c r="D159" s="48" t="s">
        <v>22</v>
      </c>
      <c r="E159" s="49" t="s">
        <v>23</v>
      </c>
    </row>
    <row r="160" spans="2:8" ht="16" x14ac:dyDescent="0.2">
      <c r="B160" s="46">
        <v>2</v>
      </c>
      <c r="C160" s="50" t="s">
        <v>24</v>
      </c>
      <c r="D160" s="51" t="s">
        <v>25</v>
      </c>
      <c r="E160" s="52">
        <v>10</v>
      </c>
    </row>
    <row r="161" spans="2:5" ht="16" x14ac:dyDescent="0.2">
      <c r="B161" s="46">
        <v>3</v>
      </c>
      <c r="C161" s="50" t="s">
        <v>24</v>
      </c>
      <c r="D161" s="51" t="s">
        <v>26</v>
      </c>
      <c r="E161" s="52">
        <v>20</v>
      </c>
    </row>
    <row r="162" spans="2:5" ht="16" x14ac:dyDescent="0.2">
      <c r="B162" s="46">
        <v>4</v>
      </c>
      <c r="C162" s="50" t="s">
        <v>24</v>
      </c>
      <c r="D162" s="51" t="s">
        <v>27</v>
      </c>
      <c r="E162" s="52">
        <v>30</v>
      </c>
    </row>
    <row r="163" spans="2:5" ht="16" x14ac:dyDescent="0.2">
      <c r="B163" s="46">
        <v>5</v>
      </c>
      <c r="C163" s="50" t="s">
        <v>24</v>
      </c>
      <c r="D163" s="51" t="s">
        <v>28</v>
      </c>
      <c r="E163" s="52">
        <v>15</v>
      </c>
    </row>
    <row r="164" spans="2:5" ht="16" x14ac:dyDescent="0.2">
      <c r="B164" s="46">
        <v>6</v>
      </c>
      <c r="C164" s="50" t="s">
        <v>24</v>
      </c>
      <c r="D164" s="51" t="s">
        <v>29</v>
      </c>
      <c r="E164" s="52">
        <v>25</v>
      </c>
    </row>
    <row r="165" spans="2:5" ht="16" x14ac:dyDescent="0.2">
      <c r="B165" s="46">
        <v>7</v>
      </c>
      <c r="C165" s="50" t="s">
        <v>24</v>
      </c>
      <c r="D165" s="51" t="s">
        <v>30</v>
      </c>
      <c r="E165" s="52">
        <v>35</v>
      </c>
    </row>
    <row r="166" spans="2:5" ht="16" x14ac:dyDescent="0.2">
      <c r="B166" s="46">
        <v>8</v>
      </c>
      <c r="C166" s="50" t="s">
        <v>31</v>
      </c>
      <c r="D166" s="51" t="s">
        <v>32</v>
      </c>
      <c r="E166" s="52">
        <v>40</v>
      </c>
    </row>
    <row r="167" spans="2:5" ht="16" x14ac:dyDescent="0.2">
      <c r="B167" s="46">
        <v>9</v>
      </c>
      <c r="C167" s="50" t="s">
        <v>31</v>
      </c>
      <c r="D167" s="51" t="s">
        <v>33</v>
      </c>
      <c r="E167" s="52">
        <v>50</v>
      </c>
    </row>
    <row r="168" spans="2:5" ht="16" x14ac:dyDescent="0.2">
      <c r="B168" s="46">
        <v>10</v>
      </c>
      <c r="C168" s="50" t="s">
        <v>31</v>
      </c>
      <c r="D168" s="51" t="s">
        <v>34</v>
      </c>
      <c r="E168" s="52">
        <v>60</v>
      </c>
    </row>
    <row r="169" spans="2:5" ht="16" x14ac:dyDescent="0.2">
      <c r="B169" s="46">
        <v>11</v>
      </c>
      <c r="C169" s="50" t="s">
        <v>31</v>
      </c>
      <c r="D169" s="51" t="s">
        <v>35</v>
      </c>
      <c r="E169" s="52">
        <v>45</v>
      </c>
    </row>
    <row r="170" spans="2:5" ht="16" x14ac:dyDescent="0.2">
      <c r="B170" s="46">
        <v>12</v>
      </c>
      <c r="C170" s="50" t="s">
        <v>31</v>
      </c>
      <c r="D170" s="51" t="s">
        <v>36</v>
      </c>
      <c r="E170" s="52">
        <v>55</v>
      </c>
    </row>
    <row r="171" spans="2:5" ht="16" x14ac:dyDescent="0.2">
      <c r="B171" s="46">
        <v>13</v>
      </c>
      <c r="C171" s="53" t="s">
        <v>31</v>
      </c>
      <c r="D171" s="51" t="s">
        <v>37</v>
      </c>
      <c r="E171" s="52">
        <v>65</v>
      </c>
    </row>
    <row r="172" spans="2:5" ht="16" x14ac:dyDescent="0.2">
      <c r="B172" s="46">
        <v>14</v>
      </c>
      <c r="C172" s="50" t="s">
        <v>38</v>
      </c>
      <c r="D172" s="51" t="s">
        <v>39</v>
      </c>
      <c r="E172" s="52">
        <v>15</v>
      </c>
    </row>
    <row r="173" spans="2:5" ht="16" x14ac:dyDescent="0.2">
      <c r="B173" s="46">
        <v>15</v>
      </c>
      <c r="C173" s="50" t="s">
        <v>38</v>
      </c>
      <c r="D173" s="51" t="s">
        <v>40</v>
      </c>
      <c r="E173" s="52">
        <v>25</v>
      </c>
    </row>
    <row r="174" spans="2:5" ht="16" x14ac:dyDescent="0.2">
      <c r="B174" s="46">
        <v>16</v>
      </c>
      <c r="C174" s="50" t="s">
        <v>38</v>
      </c>
      <c r="D174" s="51" t="s">
        <v>41</v>
      </c>
      <c r="E174" s="52">
        <v>35</v>
      </c>
    </row>
    <row r="175" spans="2:5" ht="17" thickBot="1" x14ac:dyDescent="0.25">
      <c r="B175" s="46">
        <v>17</v>
      </c>
      <c r="C175" s="54" t="s">
        <v>38</v>
      </c>
      <c r="D175" s="55" t="s">
        <v>42</v>
      </c>
      <c r="E175" s="56">
        <v>25</v>
      </c>
    </row>
    <row r="176" spans="2:5" ht="16" x14ac:dyDescent="0.2">
      <c r="B176" s="46">
        <v>18</v>
      </c>
      <c r="C176" s="57" t="s">
        <v>38</v>
      </c>
      <c r="D176" s="58" t="s">
        <v>43</v>
      </c>
      <c r="E176" s="59">
        <v>30</v>
      </c>
    </row>
    <row r="177" spans="2:5" ht="16" x14ac:dyDescent="0.2">
      <c r="B177" s="46">
        <v>19</v>
      </c>
      <c r="C177" s="60" t="s">
        <v>38</v>
      </c>
      <c r="D177" s="51" t="s">
        <v>44</v>
      </c>
      <c r="E177" s="61">
        <v>45</v>
      </c>
    </row>
    <row r="178" spans="2:5" x14ac:dyDescent="0.2">
      <c r="C178" s="62"/>
    </row>
    <row r="179" spans="2:5" x14ac:dyDescent="0.2">
      <c r="C179" s="62"/>
    </row>
    <row r="180" spans="2:5" x14ac:dyDescent="0.2">
      <c r="C180" s="62"/>
    </row>
    <row r="181" spans="2:5" ht="15" customHeight="1" x14ac:dyDescent="0.2"/>
    <row r="194" spans="2:6" x14ac:dyDescent="0.2">
      <c r="F194" s="13"/>
    </row>
    <row r="195" spans="2:6" x14ac:dyDescent="0.2">
      <c r="F195" s="13"/>
    </row>
    <row r="196" spans="2:6" x14ac:dyDescent="0.2">
      <c r="E196" s="63"/>
    </row>
    <row r="197" spans="2:6" x14ac:dyDescent="0.2">
      <c r="B197"/>
    </row>
    <row r="198" spans="2:6" x14ac:dyDescent="0.2">
      <c r="B198"/>
    </row>
    <row r="199" spans="2:6" x14ac:dyDescent="0.2">
      <c r="B199"/>
    </row>
    <row r="200" spans="2:6" x14ac:dyDescent="0.2">
      <c r="B200"/>
    </row>
    <row r="201" spans="2:6" x14ac:dyDescent="0.2">
      <c r="B201"/>
    </row>
    <row r="202" spans="2:6" x14ac:dyDescent="0.2">
      <c r="B202"/>
    </row>
    <row r="203" spans="2:6" x14ac:dyDescent="0.2">
      <c r="B203"/>
    </row>
    <row r="204" spans="2:6" x14ac:dyDescent="0.2">
      <c r="B204"/>
    </row>
    <row r="205" spans="2:6" x14ac:dyDescent="0.2">
      <c r="B205"/>
    </row>
    <row r="206" spans="2:6" x14ac:dyDescent="0.2">
      <c r="B206"/>
    </row>
    <row r="207" spans="2:6" x14ac:dyDescent="0.2">
      <c r="B207"/>
    </row>
    <row r="208" spans="2:6" x14ac:dyDescent="0.2">
      <c r="B208"/>
    </row>
    <row r="209" spans="2:8" x14ac:dyDescent="0.2">
      <c r="B209"/>
    </row>
    <row r="210" spans="2:8" x14ac:dyDescent="0.2">
      <c r="B210"/>
    </row>
    <row r="211" spans="2:8" x14ac:dyDescent="0.2">
      <c r="B211"/>
    </row>
    <row r="212" spans="2:8" x14ac:dyDescent="0.2">
      <c r="B212"/>
    </row>
    <row r="213" spans="2:8" x14ac:dyDescent="0.2">
      <c r="B213"/>
    </row>
    <row r="214" spans="2:8" x14ac:dyDescent="0.2">
      <c r="B214"/>
    </row>
    <row r="215" spans="2:8" x14ac:dyDescent="0.2">
      <c r="B215"/>
    </row>
    <row r="216" spans="2:8" x14ac:dyDescent="0.2">
      <c r="B216"/>
    </row>
    <row r="219" spans="2:8" ht="16" thickBot="1" x14ac:dyDescent="0.25">
      <c r="E219" s="64" t="s">
        <v>18</v>
      </c>
      <c r="F219" s="65" t="s">
        <v>19</v>
      </c>
      <c r="G219" s="65" t="s">
        <v>20</v>
      </c>
      <c r="H219" s="65" t="s">
        <v>45</v>
      </c>
    </row>
    <row r="220" spans="2:8" ht="16" x14ac:dyDescent="0.2">
      <c r="E220" s="66" t="s">
        <v>21</v>
      </c>
      <c r="F220" s="67" t="s">
        <v>46</v>
      </c>
      <c r="G220" s="67" t="s">
        <v>47</v>
      </c>
      <c r="H220" s="68" t="s">
        <v>48</v>
      </c>
    </row>
    <row r="221" spans="2:8" ht="16" x14ac:dyDescent="0.2">
      <c r="E221" s="69" t="s">
        <v>24</v>
      </c>
      <c r="F221" s="51" t="s">
        <v>49</v>
      </c>
      <c r="G221" s="51" t="s">
        <v>50</v>
      </c>
      <c r="H221" s="70">
        <v>180</v>
      </c>
    </row>
    <row r="222" spans="2:8" ht="15.75" customHeight="1" x14ac:dyDescent="0.2">
      <c r="E222" s="69" t="s">
        <v>24</v>
      </c>
      <c r="F222" s="51" t="s">
        <v>49</v>
      </c>
      <c r="G222" s="51" t="s">
        <v>51</v>
      </c>
      <c r="H222" s="70">
        <v>130</v>
      </c>
    </row>
    <row r="223" spans="2:8" ht="15.75" customHeight="1" x14ac:dyDescent="0.2">
      <c r="E223" s="69" t="s">
        <v>24</v>
      </c>
      <c r="F223" s="51" t="s">
        <v>49</v>
      </c>
      <c r="G223" s="51" t="s">
        <v>52</v>
      </c>
      <c r="H223" s="70">
        <v>210</v>
      </c>
    </row>
    <row r="224" spans="2:8" ht="15.75" customHeight="1" x14ac:dyDescent="0.2">
      <c r="E224" s="69" t="s">
        <v>24</v>
      </c>
      <c r="F224" s="51" t="s">
        <v>53</v>
      </c>
      <c r="G224" s="51" t="s">
        <v>54</v>
      </c>
      <c r="H224" s="70">
        <v>110</v>
      </c>
    </row>
    <row r="225" spans="5:8" ht="15.75" customHeight="1" x14ac:dyDescent="0.2">
      <c r="E225" s="69" t="s">
        <v>24</v>
      </c>
      <c r="F225" s="51" t="s">
        <v>53</v>
      </c>
      <c r="G225" s="51" t="s">
        <v>55</v>
      </c>
      <c r="H225" s="70">
        <v>185</v>
      </c>
    </row>
    <row r="226" spans="5:8" ht="15.75" customHeight="1" x14ac:dyDescent="0.2">
      <c r="E226" s="69" t="s">
        <v>24</v>
      </c>
      <c r="F226" s="51" t="s">
        <v>53</v>
      </c>
      <c r="G226" s="51" t="s">
        <v>56</v>
      </c>
      <c r="H226" s="70">
        <v>210</v>
      </c>
    </row>
    <row r="227" spans="5:8" ht="15.75" customHeight="1" x14ac:dyDescent="0.2">
      <c r="E227" s="69" t="s">
        <v>57</v>
      </c>
      <c r="F227" s="51" t="s">
        <v>58</v>
      </c>
      <c r="G227" s="51" t="s">
        <v>41</v>
      </c>
      <c r="H227" s="70">
        <v>125</v>
      </c>
    </row>
    <row r="228" spans="5:8" ht="16" x14ac:dyDescent="0.2">
      <c r="E228" s="69" t="s">
        <v>57</v>
      </c>
      <c r="F228" s="51" t="s">
        <v>58</v>
      </c>
      <c r="G228" s="51" t="s">
        <v>59</v>
      </c>
      <c r="H228" s="70">
        <v>120</v>
      </c>
    </row>
    <row r="229" spans="5:8" ht="16" x14ac:dyDescent="0.2">
      <c r="E229" s="69" t="s">
        <v>57</v>
      </c>
      <c r="F229" s="51" t="s">
        <v>58</v>
      </c>
      <c r="G229" s="51" t="s">
        <v>60</v>
      </c>
      <c r="H229" s="70">
        <v>140</v>
      </c>
    </row>
    <row r="230" spans="5:8" ht="16" x14ac:dyDescent="0.2">
      <c r="E230" s="69" t="s">
        <v>57</v>
      </c>
      <c r="F230" s="51" t="s">
        <v>61</v>
      </c>
      <c r="G230" s="51" t="s">
        <v>62</v>
      </c>
      <c r="H230" s="70">
        <v>130</v>
      </c>
    </row>
    <row r="231" spans="5:8" ht="16" x14ac:dyDescent="0.2">
      <c r="E231" s="69" t="s">
        <v>57</v>
      </c>
      <c r="F231" s="51" t="s">
        <v>61</v>
      </c>
      <c r="G231" s="51" t="s">
        <v>63</v>
      </c>
      <c r="H231" s="70">
        <v>110</v>
      </c>
    </row>
    <row r="232" spans="5:8" ht="17" thickBot="1" x14ac:dyDescent="0.25">
      <c r="E232" s="69" t="s">
        <v>57</v>
      </c>
      <c r="F232" s="55" t="s">
        <v>61</v>
      </c>
      <c r="G232" s="71" t="s">
        <v>64</v>
      </c>
      <c r="H232" s="72">
        <v>140</v>
      </c>
    </row>
  </sheetData>
  <mergeCells count="5">
    <mergeCell ref="C42:D42"/>
    <mergeCell ref="E42:F42"/>
    <mergeCell ref="A55:C55"/>
    <mergeCell ref="A114:B114"/>
    <mergeCell ref="B156:D156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686D4-5E40-A848-A6DA-26297052255B}">
  <sheetPr>
    <tabColor rgb="FF92D050"/>
  </sheetPr>
  <dimension ref="A1:T80"/>
  <sheetViews>
    <sheetView topLeftCell="A9" zoomScaleNormal="100" workbookViewId="0">
      <selection activeCell="O15" sqref="O15"/>
    </sheetView>
  </sheetViews>
  <sheetFormatPr baseColWidth="10" defaultColWidth="8.83203125" defaultRowHeight="15" x14ac:dyDescent="0.2"/>
  <cols>
    <col min="1" max="1" width="18.1640625" bestFit="1" customWidth="1"/>
    <col min="2" max="2" width="23.5" bestFit="1" customWidth="1"/>
    <col min="3" max="3" width="26.1640625" bestFit="1" customWidth="1"/>
    <col min="4" max="4" width="13.83203125" customWidth="1"/>
    <col min="5" max="5" width="13.1640625" customWidth="1"/>
    <col min="6" max="6" width="10.83203125" customWidth="1"/>
    <col min="7" max="7" width="9.33203125" customWidth="1"/>
    <col min="8" max="8" width="10.5" customWidth="1"/>
    <col min="9" max="9" width="7.6640625" bestFit="1" customWidth="1"/>
  </cols>
  <sheetData>
    <row r="1" spans="1:9" ht="16" thickBot="1" x14ac:dyDescent="0.25">
      <c r="A1" s="112" t="s">
        <v>65</v>
      </c>
      <c r="B1" s="112"/>
    </row>
    <row r="2" spans="1:9" ht="48" x14ac:dyDescent="0.2">
      <c r="A2" s="73" t="s">
        <v>66</v>
      </c>
      <c r="B2" s="74" t="s">
        <v>67</v>
      </c>
      <c r="C2" s="74" t="s">
        <v>68</v>
      </c>
      <c r="D2" s="74" t="s">
        <v>69</v>
      </c>
      <c r="E2" s="74" t="s">
        <v>70</v>
      </c>
      <c r="F2" s="74" t="s">
        <v>23</v>
      </c>
      <c r="G2" s="75" t="s">
        <v>71</v>
      </c>
      <c r="H2" s="76" t="s">
        <v>72</v>
      </c>
      <c r="I2" s="76" t="s">
        <v>73</v>
      </c>
    </row>
    <row r="3" spans="1:9" x14ac:dyDescent="0.2">
      <c r="A3" s="77">
        <v>45293</v>
      </c>
      <c r="B3" s="35" t="s">
        <v>74</v>
      </c>
      <c r="C3" s="35" t="s">
        <v>75</v>
      </c>
      <c r="D3" s="78">
        <v>45000</v>
      </c>
      <c r="E3" s="78">
        <v>36000</v>
      </c>
      <c r="F3" s="36">
        <v>4</v>
      </c>
      <c r="G3" s="79" t="s">
        <v>76</v>
      </c>
      <c r="H3" s="35">
        <f>Table7[[#This Row],[ListPrice]]*Table7[[#This Row],[Quantity]]</f>
        <v>180000</v>
      </c>
      <c r="I3" s="35">
        <f>Table7[[#This Row],[ActualPrice]]*Table7[[#This Row],[Quantity]]</f>
        <v>144000</v>
      </c>
    </row>
    <row r="4" spans="1:9" x14ac:dyDescent="0.2">
      <c r="A4" s="77">
        <v>45299</v>
      </c>
      <c r="B4" s="35" t="s">
        <v>77</v>
      </c>
      <c r="C4" s="35" t="s">
        <v>78</v>
      </c>
      <c r="D4" s="78">
        <v>35000</v>
      </c>
      <c r="E4" s="78">
        <v>28000</v>
      </c>
      <c r="F4" s="36">
        <v>5</v>
      </c>
      <c r="G4" s="79" t="s">
        <v>79</v>
      </c>
      <c r="H4" s="35">
        <f>Table7[[#This Row],[ListPrice]]*Table7[[#This Row],[Quantity]]</f>
        <v>175000</v>
      </c>
      <c r="I4" s="35">
        <f>Table7[[#This Row],[ActualPrice]]*Table7[[#This Row],[Quantity]]</f>
        <v>140000</v>
      </c>
    </row>
    <row r="5" spans="1:9" x14ac:dyDescent="0.2">
      <c r="A5" s="77">
        <v>45309</v>
      </c>
      <c r="B5" s="35" t="s">
        <v>80</v>
      </c>
      <c r="C5" s="35" t="s">
        <v>81</v>
      </c>
      <c r="D5" s="78">
        <v>56250</v>
      </c>
      <c r="E5" s="78">
        <v>45000</v>
      </c>
      <c r="F5" s="36">
        <v>2</v>
      </c>
      <c r="G5" s="79" t="s">
        <v>82</v>
      </c>
      <c r="H5" s="35">
        <f>Table7[[#This Row],[ListPrice]]*Table7[[#This Row],[Quantity]]</f>
        <v>112500</v>
      </c>
      <c r="I5" s="35">
        <f>Table7[[#This Row],[ActualPrice]]*Table7[[#This Row],[Quantity]]</f>
        <v>90000</v>
      </c>
    </row>
    <row r="6" spans="1:9" x14ac:dyDescent="0.2">
      <c r="A6" s="77">
        <v>45327</v>
      </c>
      <c r="B6" s="35" t="s">
        <v>77</v>
      </c>
      <c r="C6" s="35" t="s">
        <v>78</v>
      </c>
      <c r="D6" s="78">
        <v>28125</v>
      </c>
      <c r="E6" s="78">
        <v>22500</v>
      </c>
      <c r="F6" s="36">
        <v>6</v>
      </c>
      <c r="G6" s="79" t="s">
        <v>76</v>
      </c>
      <c r="H6" s="35">
        <f>Table7[[#This Row],[ListPrice]]*Table7[[#This Row],[Quantity]]</f>
        <v>168750</v>
      </c>
      <c r="I6" s="35">
        <f>Table7[[#This Row],[ActualPrice]]*Table7[[#This Row],[Quantity]]</f>
        <v>135000</v>
      </c>
    </row>
    <row r="7" spans="1:9" x14ac:dyDescent="0.2">
      <c r="A7" s="77">
        <v>45338</v>
      </c>
      <c r="B7" s="35" t="s">
        <v>83</v>
      </c>
      <c r="C7" s="35" t="s">
        <v>84</v>
      </c>
      <c r="D7" s="78">
        <v>65000</v>
      </c>
      <c r="E7" s="78">
        <v>52000</v>
      </c>
      <c r="F7" s="36">
        <v>4</v>
      </c>
      <c r="G7" s="79" t="s">
        <v>85</v>
      </c>
      <c r="H7" s="35">
        <f>Table7[[#This Row],[ListPrice]]*Table7[[#This Row],[Quantity]]</f>
        <v>260000</v>
      </c>
      <c r="I7" s="35">
        <f>Table7[[#This Row],[ActualPrice]]*Table7[[#This Row],[Quantity]]</f>
        <v>208000</v>
      </c>
    </row>
    <row r="8" spans="1:9" x14ac:dyDescent="0.2">
      <c r="A8" s="77">
        <v>45349</v>
      </c>
      <c r="B8" s="35" t="s">
        <v>74</v>
      </c>
      <c r="C8" s="35" t="s">
        <v>86</v>
      </c>
      <c r="D8" s="78">
        <v>60000</v>
      </c>
      <c r="E8" s="78">
        <v>48000</v>
      </c>
      <c r="F8" s="36">
        <v>6</v>
      </c>
      <c r="G8" s="79" t="s">
        <v>76</v>
      </c>
      <c r="H8" s="35">
        <f>Table7[[#This Row],[ListPrice]]*Table7[[#This Row],[Quantity]]</f>
        <v>360000</v>
      </c>
      <c r="I8" s="35">
        <f>Table7[[#This Row],[ActualPrice]]*Table7[[#This Row],[Quantity]]</f>
        <v>288000</v>
      </c>
    </row>
    <row r="9" spans="1:9" x14ac:dyDescent="0.2">
      <c r="A9" s="77">
        <v>45350</v>
      </c>
      <c r="B9" s="35" t="s">
        <v>87</v>
      </c>
      <c r="C9" s="35" t="s">
        <v>75</v>
      </c>
      <c r="D9" s="78">
        <v>40000</v>
      </c>
      <c r="E9" s="78">
        <v>32000</v>
      </c>
      <c r="F9" s="36">
        <v>7</v>
      </c>
      <c r="G9" s="79" t="s">
        <v>88</v>
      </c>
      <c r="H9" s="35">
        <f>Table7[[#This Row],[ListPrice]]*Table7[[#This Row],[Quantity]]</f>
        <v>280000</v>
      </c>
      <c r="I9" s="35">
        <f>Table7[[#This Row],[ActualPrice]]*Table7[[#This Row],[Quantity]]</f>
        <v>224000</v>
      </c>
    </row>
    <row r="10" spans="1:9" x14ac:dyDescent="0.2">
      <c r="A10" s="77">
        <v>45360</v>
      </c>
      <c r="B10" s="35" t="s">
        <v>77</v>
      </c>
      <c r="C10" s="35" t="s">
        <v>78</v>
      </c>
      <c r="D10" s="78">
        <v>31875</v>
      </c>
      <c r="E10" s="78">
        <v>25500</v>
      </c>
      <c r="F10" s="36">
        <v>3</v>
      </c>
      <c r="G10" s="79" t="s">
        <v>82</v>
      </c>
      <c r="H10" s="35">
        <f>Table7[[#This Row],[ListPrice]]*Table7[[#This Row],[Quantity]]</f>
        <v>95625</v>
      </c>
      <c r="I10" s="35">
        <f>Table7[[#This Row],[ActualPrice]]*Table7[[#This Row],[Quantity]]</f>
        <v>76500</v>
      </c>
    </row>
    <row r="11" spans="1:9" x14ac:dyDescent="0.2">
      <c r="A11" s="77">
        <v>45361</v>
      </c>
      <c r="B11" s="35" t="s">
        <v>83</v>
      </c>
      <c r="C11" s="35" t="s">
        <v>86</v>
      </c>
      <c r="D11" s="78">
        <v>78750</v>
      </c>
      <c r="E11" s="78">
        <v>63000</v>
      </c>
      <c r="F11" s="36">
        <v>2</v>
      </c>
      <c r="G11" s="79" t="s">
        <v>76</v>
      </c>
      <c r="H11" s="35">
        <f>Table7[[#This Row],[ListPrice]]*Table7[[#This Row],[Quantity]]</f>
        <v>157500</v>
      </c>
      <c r="I11" s="35">
        <f>Table7[[#This Row],[ActualPrice]]*Table7[[#This Row],[Quantity]]</f>
        <v>126000</v>
      </c>
    </row>
    <row r="12" spans="1:9" x14ac:dyDescent="0.2">
      <c r="A12" s="77">
        <v>45368</v>
      </c>
      <c r="B12" s="35" t="s">
        <v>89</v>
      </c>
      <c r="C12" s="35" t="s">
        <v>78</v>
      </c>
      <c r="D12" s="78">
        <v>61250</v>
      </c>
      <c r="E12" s="78">
        <v>49000</v>
      </c>
      <c r="F12" s="36">
        <v>6</v>
      </c>
      <c r="G12" s="79" t="s">
        <v>88</v>
      </c>
      <c r="H12" s="35">
        <f>Table7[[#This Row],[ListPrice]]*Table7[[#This Row],[Quantity]]</f>
        <v>367500</v>
      </c>
      <c r="I12" s="35">
        <f>Table7[[#This Row],[ActualPrice]]*Table7[[#This Row],[Quantity]]</f>
        <v>294000</v>
      </c>
    </row>
    <row r="13" spans="1:9" x14ac:dyDescent="0.2">
      <c r="A13" s="77">
        <v>45373</v>
      </c>
      <c r="B13" s="35" t="s">
        <v>89</v>
      </c>
      <c r="C13" s="35" t="s">
        <v>84</v>
      </c>
      <c r="D13" s="78">
        <v>58957.5</v>
      </c>
      <c r="E13" s="78">
        <v>47166</v>
      </c>
      <c r="F13" s="36">
        <v>6</v>
      </c>
      <c r="G13" s="79" t="s">
        <v>82</v>
      </c>
      <c r="H13" s="35">
        <f>Table7[[#This Row],[ListPrice]]*Table7[[#This Row],[Quantity]]</f>
        <v>353745</v>
      </c>
      <c r="I13" s="35">
        <f>Table7[[#This Row],[ActualPrice]]*Table7[[#This Row],[Quantity]]</f>
        <v>282996</v>
      </c>
    </row>
    <row r="14" spans="1:9" x14ac:dyDescent="0.2">
      <c r="A14" s="77">
        <v>45385</v>
      </c>
      <c r="B14" s="35" t="s">
        <v>74</v>
      </c>
      <c r="C14" s="35" t="s">
        <v>86</v>
      </c>
      <c r="D14" s="78">
        <v>47500</v>
      </c>
      <c r="E14" s="78">
        <v>38000</v>
      </c>
      <c r="F14" s="36">
        <v>2</v>
      </c>
      <c r="G14" s="79" t="s">
        <v>79</v>
      </c>
      <c r="H14" s="35">
        <f>Table7[[#This Row],[ListPrice]]*Table7[[#This Row],[Quantity]]</f>
        <v>95000</v>
      </c>
      <c r="I14" s="35">
        <f>Table7[[#This Row],[ActualPrice]]*Table7[[#This Row],[Quantity]]</f>
        <v>76000</v>
      </c>
    </row>
    <row r="15" spans="1:9" x14ac:dyDescent="0.2">
      <c r="A15" s="77">
        <v>45392</v>
      </c>
      <c r="B15" s="35" t="s">
        <v>90</v>
      </c>
      <c r="C15" s="35" t="s">
        <v>81</v>
      </c>
      <c r="D15" s="78">
        <v>37500</v>
      </c>
      <c r="E15" s="78">
        <v>30000</v>
      </c>
      <c r="F15" s="36">
        <v>4</v>
      </c>
      <c r="G15" s="79" t="s">
        <v>82</v>
      </c>
      <c r="H15" s="35">
        <f>Table7[[#This Row],[ListPrice]]*Table7[[#This Row],[Quantity]]</f>
        <v>150000</v>
      </c>
      <c r="I15" s="35">
        <f>Table7[[#This Row],[ActualPrice]]*Table7[[#This Row],[Quantity]]</f>
        <v>120000</v>
      </c>
    </row>
    <row r="16" spans="1:9" x14ac:dyDescent="0.2">
      <c r="A16" s="77">
        <v>45397</v>
      </c>
      <c r="B16" s="35" t="s">
        <v>80</v>
      </c>
      <c r="C16" s="35" t="s">
        <v>86</v>
      </c>
      <c r="D16" s="78">
        <v>63125</v>
      </c>
      <c r="E16" s="78">
        <v>50500</v>
      </c>
      <c r="F16" s="36">
        <v>8</v>
      </c>
      <c r="G16" s="79" t="s">
        <v>88</v>
      </c>
      <c r="H16" s="35">
        <f>Table7[[#This Row],[ListPrice]]*Table7[[#This Row],[Quantity]]</f>
        <v>505000</v>
      </c>
      <c r="I16" s="35">
        <f>Table7[[#This Row],[ActualPrice]]*Table7[[#This Row],[Quantity]]</f>
        <v>404000</v>
      </c>
    </row>
    <row r="17" spans="1:20" x14ac:dyDescent="0.2">
      <c r="A17" s="77">
        <v>45404</v>
      </c>
      <c r="B17" s="35" t="s">
        <v>83</v>
      </c>
      <c r="C17" s="35" t="s">
        <v>81</v>
      </c>
      <c r="D17" s="78">
        <v>68750</v>
      </c>
      <c r="E17" s="78">
        <v>55000</v>
      </c>
      <c r="F17" s="36">
        <v>4</v>
      </c>
      <c r="G17" s="79" t="s">
        <v>88</v>
      </c>
      <c r="H17" s="35">
        <f>Table7[[#This Row],[ListPrice]]*Table7[[#This Row],[Quantity]]</f>
        <v>275000</v>
      </c>
      <c r="I17" s="35">
        <f>Table7[[#This Row],[ActualPrice]]*Table7[[#This Row],[Quantity]]</f>
        <v>220000</v>
      </c>
    </row>
    <row r="18" spans="1:20" ht="16" thickBot="1" x14ac:dyDescent="0.25">
      <c r="A18" s="80">
        <v>45409</v>
      </c>
      <c r="B18" s="81" t="s">
        <v>90</v>
      </c>
      <c r="C18" s="81" t="s">
        <v>84</v>
      </c>
      <c r="D18" s="82">
        <v>40000</v>
      </c>
      <c r="E18" s="82">
        <v>32000</v>
      </c>
      <c r="F18" s="7">
        <v>6</v>
      </c>
      <c r="G18" s="83" t="s">
        <v>79</v>
      </c>
      <c r="H18" s="35">
        <f>Table7[[#This Row],[ListPrice]]*Table7[[#This Row],[Quantity]]</f>
        <v>240000</v>
      </c>
      <c r="I18" s="35">
        <f>Table7[[#This Row],[ActualPrice]]*Table7[[#This Row],[Quantity]]</f>
        <v>192000</v>
      </c>
    </row>
    <row r="19" spans="1:20" ht="19" x14ac:dyDescent="0.25">
      <c r="A19" s="84" t="s">
        <v>91</v>
      </c>
      <c r="B19" s="85"/>
      <c r="C19" s="85"/>
      <c r="D19" s="86"/>
      <c r="E19" s="86"/>
      <c r="F19" s="87"/>
      <c r="G19" s="88"/>
      <c r="H19" s="89"/>
      <c r="I19" s="89"/>
      <c r="J19" s="89"/>
      <c r="K19" s="89"/>
      <c r="L19" s="89"/>
      <c r="M19" s="89"/>
      <c r="N19" s="89"/>
      <c r="O19" s="90"/>
      <c r="P19" s="90"/>
      <c r="Q19" s="90"/>
      <c r="R19" s="90"/>
      <c r="S19" s="90"/>
      <c r="T19" s="90"/>
    </row>
    <row r="22" spans="1:20" x14ac:dyDescent="0.2">
      <c r="A22" t="s">
        <v>92</v>
      </c>
      <c r="B22" s="91" t="s">
        <v>93</v>
      </c>
    </row>
    <row r="23" spans="1:20" x14ac:dyDescent="0.2">
      <c r="A23" s="35" t="s">
        <v>94</v>
      </c>
      <c r="B23" s="35" t="s">
        <v>95</v>
      </c>
      <c r="C23" s="35" t="s">
        <v>96</v>
      </c>
    </row>
    <row r="24" spans="1:20" x14ac:dyDescent="0.2">
      <c r="A24" s="92" t="s">
        <v>90</v>
      </c>
      <c r="B24" s="35">
        <v>390000</v>
      </c>
      <c r="C24" s="35">
        <v>312000</v>
      </c>
    </row>
    <row r="25" spans="1:20" x14ac:dyDescent="0.2">
      <c r="A25" s="92" t="s">
        <v>80</v>
      </c>
      <c r="B25" s="35">
        <v>1338745</v>
      </c>
      <c r="C25" s="35">
        <v>1070996</v>
      </c>
    </row>
    <row r="26" spans="1:20" x14ac:dyDescent="0.2">
      <c r="A26" s="92" t="s">
        <v>83</v>
      </c>
      <c r="B26" s="35">
        <v>692500</v>
      </c>
      <c r="C26" s="35">
        <v>554000</v>
      </c>
    </row>
    <row r="27" spans="1:20" x14ac:dyDescent="0.2">
      <c r="A27" s="92" t="s">
        <v>74</v>
      </c>
      <c r="B27" s="35">
        <v>635000</v>
      </c>
      <c r="C27" s="35">
        <v>508000</v>
      </c>
    </row>
    <row r="28" spans="1:20" x14ac:dyDescent="0.2">
      <c r="A28" s="92" t="s">
        <v>87</v>
      </c>
      <c r="B28" s="35">
        <v>280000</v>
      </c>
      <c r="C28" s="35">
        <v>224000</v>
      </c>
    </row>
    <row r="29" spans="1:20" x14ac:dyDescent="0.2">
      <c r="A29" s="92" t="s">
        <v>77</v>
      </c>
      <c r="B29" s="35">
        <v>439375</v>
      </c>
      <c r="C29" s="35">
        <v>351500</v>
      </c>
    </row>
    <row r="30" spans="1:20" x14ac:dyDescent="0.2">
      <c r="A30" s="92" t="s">
        <v>97</v>
      </c>
      <c r="B30" s="35">
        <v>3775620</v>
      </c>
      <c r="C30" s="35">
        <v>3020496</v>
      </c>
    </row>
    <row r="40" spans="1:3" x14ac:dyDescent="0.2">
      <c r="A40" s="11" t="s">
        <v>6</v>
      </c>
      <c r="B40" s="11" t="s">
        <v>98</v>
      </c>
    </row>
    <row r="42" spans="1:3" x14ac:dyDescent="0.2">
      <c r="A42" s="35" t="s">
        <v>94</v>
      </c>
      <c r="B42" s="35" t="s">
        <v>95</v>
      </c>
      <c r="C42" s="35" t="s">
        <v>96</v>
      </c>
    </row>
    <row r="43" spans="1:3" x14ac:dyDescent="0.2">
      <c r="A43" s="92" t="s">
        <v>75</v>
      </c>
      <c r="B43" s="35">
        <v>460000</v>
      </c>
      <c r="C43" s="35">
        <v>368000</v>
      </c>
    </row>
    <row r="44" spans="1:3" x14ac:dyDescent="0.2">
      <c r="A44" s="92" t="s">
        <v>84</v>
      </c>
      <c r="B44" s="35">
        <v>853745</v>
      </c>
      <c r="C44" s="35">
        <v>682996</v>
      </c>
    </row>
    <row r="45" spans="1:3" x14ac:dyDescent="0.2">
      <c r="A45" s="92" t="s">
        <v>78</v>
      </c>
      <c r="B45" s="35">
        <v>806875</v>
      </c>
      <c r="C45" s="35">
        <v>645500</v>
      </c>
    </row>
    <row r="46" spans="1:3" x14ac:dyDescent="0.2">
      <c r="A46" s="92" t="s">
        <v>81</v>
      </c>
      <c r="B46" s="35">
        <v>537500</v>
      </c>
      <c r="C46" s="35">
        <v>430000</v>
      </c>
    </row>
    <row r="47" spans="1:3" x14ac:dyDescent="0.2">
      <c r="A47" s="92" t="s">
        <v>86</v>
      </c>
      <c r="B47" s="35">
        <v>1117500</v>
      </c>
      <c r="C47" s="35">
        <v>894000</v>
      </c>
    </row>
    <row r="48" spans="1:3" x14ac:dyDescent="0.2">
      <c r="A48" s="92" t="s">
        <v>97</v>
      </c>
      <c r="B48" s="35">
        <v>3775620</v>
      </c>
      <c r="C48" s="35">
        <v>3020496</v>
      </c>
    </row>
    <row r="59" spans="1:3" ht="16" x14ac:dyDescent="0.2">
      <c r="A59" t="s">
        <v>99</v>
      </c>
      <c r="B59" s="93" t="s">
        <v>100</v>
      </c>
      <c r="C59" s="25"/>
    </row>
    <row r="61" spans="1:3" x14ac:dyDescent="0.2">
      <c r="A61" s="35" t="s">
        <v>94</v>
      </c>
      <c r="B61" s="35" t="s">
        <v>95</v>
      </c>
      <c r="C61" s="35" t="s">
        <v>96</v>
      </c>
    </row>
    <row r="62" spans="1:3" x14ac:dyDescent="0.2">
      <c r="A62" s="92" t="s">
        <v>75</v>
      </c>
      <c r="B62" s="35">
        <v>460000</v>
      </c>
      <c r="C62" s="35">
        <v>368000</v>
      </c>
    </row>
    <row r="63" spans="1:3" x14ac:dyDescent="0.2">
      <c r="A63" s="94" t="s">
        <v>74</v>
      </c>
      <c r="B63" s="35">
        <v>180000</v>
      </c>
      <c r="C63" s="35">
        <v>144000</v>
      </c>
    </row>
    <row r="64" spans="1:3" x14ac:dyDescent="0.2">
      <c r="A64" s="94" t="s">
        <v>87</v>
      </c>
      <c r="B64" s="35">
        <v>280000</v>
      </c>
      <c r="C64" s="35">
        <v>224000</v>
      </c>
    </row>
    <row r="65" spans="1:3" x14ac:dyDescent="0.2">
      <c r="A65" s="92" t="s">
        <v>84</v>
      </c>
      <c r="B65" s="35">
        <v>853745</v>
      </c>
      <c r="C65" s="35">
        <v>682996</v>
      </c>
    </row>
    <row r="66" spans="1:3" x14ac:dyDescent="0.2">
      <c r="A66" s="94" t="s">
        <v>90</v>
      </c>
      <c r="B66" s="35">
        <v>240000</v>
      </c>
      <c r="C66" s="35">
        <v>192000</v>
      </c>
    </row>
    <row r="67" spans="1:3" x14ac:dyDescent="0.2">
      <c r="A67" s="94" t="s">
        <v>80</v>
      </c>
      <c r="B67" s="35">
        <v>353745</v>
      </c>
      <c r="C67" s="35">
        <v>282996</v>
      </c>
    </row>
    <row r="68" spans="1:3" x14ac:dyDescent="0.2">
      <c r="A68" s="94" t="s">
        <v>83</v>
      </c>
      <c r="B68" s="35">
        <v>260000</v>
      </c>
      <c r="C68" s="35">
        <v>208000</v>
      </c>
    </row>
    <row r="69" spans="1:3" x14ac:dyDescent="0.2">
      <c r="A69" s="92" t="s">
        <v>78</v>
      </c>
      <c r="B69" s="35">
        <v>806875</v>
      </c>
      <c r="C69" s="35">
        <v>645500</v>
      </c>
    </row>
    <row r="70" spans="1:3" x14ac:dyDescent="0.2">
      <c r="A70" s="94" t="s">
        <v>80</v>
      </c>
      <c r="B70" s="35">
        <v>367500</v>
      </c>
      <c r="C70" s="35">
        <v>294000</v>
      </c>
    </row>
    <row r="71" spans="1:3" x14ac:dyDescent="0.2">
      <c r="A71" s="94" t="s">
        <v>77</v>
      </c>
      <c r="B71" s="35">
        <v>439375</v>
      </c>
      <c r="C71" s="35">
        <v>351500</v>
      </c>
    </row>
    <row r="72" spans="1:3" x14ac:dyDescent="0.2">
      <c r="A72" s="92" t="s">
        <v>81</v>
      </c>
      <c r="B72" s="35">
        <v>537500</v>
      </c>
      <c r="C72" s="35">
        <v>430000</v>
      </c>
    </row>
    <row r="73" spans="1:3" x14ac:dyDescent="0.2">
      <c r="A73" s="94" t="s">
        <v>90</v>
      </c>
      <c r="B73" s="35">
        <v>150000</v>
      </c>
      <c r="C73" s="35">
        <v>120000</v>
      </c>
    </row>
    <row r="74" spans="1:3" x14ac:dyDescent="0.2">
      <c r="A74" s="94" t="s">
        <v>80</v>
      </c>
      <c r="B74" s="35">
        <v>112500</v>
      </c>
      <c r="C74" s="35">
        <v>90000</v>
      </c>
    </row>
    <row r="75" spans="1:3" x14ac:dyDescent="0.2">
      <c r="A75" s="94" t="s">
        <v>83</v>
      </c>
      <c r="B75" s="35">
        <v>275000</v>
      </c>
      <c r="C75" s="35">
        <v>220000</v>
      </c>
    </row>
    <row r="76" spans="1:3" x14ac:dyDescent="0.2">
      <c r="A76" s="92" t="s">
        <v>86</v>
      </c>
      <c r="B76" s="35">
        <v>1117500</v>
      </c>
      <c r="C76" s="35">
        <v>894000</v>
      </c>
    </row>
    <row r="77" spans="1:3" x14ac:dyDescent="0.2">
      <c r="A77" s="94" t="s">
        <v>80</v>
      </c>
      <c r="B77" s="35">
        <v>505000</v>
      </c>
      <c r="C77" s="35">
        <v>404000</v>
      </c>
    </row>
    <row r="78" spans="1:3" x14ac:dyDescent="0.2">
      <c r="A78" s="94" t="s">
        <v>83</v>
      </c>
      <c r="B78" s="35">
        <v>157500</v>
      </c>
      <c r="C78" s="35">
        <v>126000</v>
      </c>
    </row>
    <row r="79" spans="1:3" x14ac:dyDescent="0.2">
      <c r="A79" s="94" t="s">
        <v>74</v>
      </c>
      <c r="B79" s="35">
        <v>455000</v>
      </c>
      <c r="C79" s="35">
        <v>364000</v>
      </c>
    </row>
    <row r="80" spans="1:3" x14ac:dyDescent="0.2">
      <c r="A80" s="92" t="s">
        <v>97</v>
      </c>
      <c r="B80" s="35">
        <v>3775620</v>
      </c>
      <c r="C80" s="35">
        <v>3020496</v>
      </c>
    </row>
  </sheetData>
  <mergeCells count="1">
    <mergeCell ref="A1:B1"/>
  </mergeCells>
  <pageMargins left="0.7" right="0.7" top="0.75" bottom="0.75" header="0.3" footer="0.3"/>
  <pageSetup orientation="portrait" r:id="rId4"/>
  <drawing r:id="rId5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35182-40E2-2546-A70F-1D90EA60A889}">
  <sheetPr>
    <tabColor rgb="FF92D050"/>
  </sheetPr>
  <dimension ref="A1:N4"/>
  <sheetViews>
    <sheetView zoomScale="120" zoomScaleNormal="120" workbookViewId="0">
      <selection activeCell="N28" sqref="N28"/>
    </sheetView>
  </sheetViews>
  <sheetFormatPr baseColWidth="10" defaultColWidth="8.83203125" defaultRowHeight="15" x14ac:dyDescent="0.2"/>
  <sheetData>
    <row r="1" spans="1:14" ht="19" x14ac:dyDescent="0.25">
      <c r="A1" s="113" t="s">
        <v>101</v>
      </c>
      <c r="B1" s="113"/>
      <c r="C1" s="108" t="s">
        <v>102</v>
      </c>
      <c r="D1" s="108"/>
      <c r="E1" s="108"/>
    </row>
    <row r="2" spans="1:14" ht="17" thickBot="1" x14ac:dyDescent="0.25">
      <c r="A2" s="95"/>
      <c r="B2" s="95"/>
      <c r="C2" s="96"/>
      <c r="D2" s="96"/>
      <c r="E2" s="96"/>
    </row>
    <row r="3" spans="1:14" x14ac:dyDescent="0.2">
      <c r="B3" s="9"/>
      <c r="D3" s="97" t="s">
        <v>103</v>
      </c>
      <c r="E3" s="98" t="s">
        <v>18</v>
      </c>
      <c r="F3" s="98" t="s">
        <v>19</v>
      </c>
      <c r="G3" s="98" t="s">
        <v>20</v>
      </c>
      <c r="H3" s="98" t="s">
        <v>45</v>
      </c>
      <c r="I3" s="98" t="s">
        <v>104</v>
      </c>
      <c r="J3" s="98" t="s">
        <v>105</v>
      </c>
      <c r="K3" s="98" t="s">
        <v>106</v>
      </c>
      <c r="L3" s="98" t="s">
        <v>107</v>
      </c>
      <c r="M3" s="98" t="s">
        <v>108</v>
      </c>
      <c r="N3" s="99" t="s">
        <v>109</v>
      </c>
    </row>
    <row r="4" spans="1:14" ht="16" thickBot="1" x14ac:dyDescent="0.25">
      <c r="B4" s="9"/>
      <c r="D4" s="100" t="s">
        <v>110</v>
      </c>
      <c r="E4" s="7">
        <v>10</v>
      </c>
      <c r="F4" s="7">
        <v>7</v>
      </c>
      <c r="G4" s="7">
        <v>11</v>
      </c>
      <c r="H4" s="7">
        <v>14</v>
      </c>
      <c r="I4" s="7">
        <v>14</v>
      </c>
      <c r="J4" s="7">
        <v>12</v>
      </c>
      <c r="K4" s="7">
        <v>11</v>
      </c>
      <c r="L4" s="7">
        <v>7</v>
      </c>
      <c r="M4" s="7">
        <v>8</v>
      </c>
      <c r="N4" s="8">
        <v>6</v>
      </c>
    </row>
  </sheetData>
  <mergeCells count="2">
    <mergeCell ref="A1:B1"/>
    <mergeCell ref="C1:E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0EB2-A977-C545-B6B7-AF783B84BB46}">
  <sheetPr>
    <tabColor rgb="FF92D050"/>
  </sheetPr>
  <dimension ref="A1:M22"/>
  <sheetViews>
    <sheetView workbookViewId="0">
      <selection activeCell="B17" sqref="B17:B22"/>
    </sheetView>
  </sheetViews>
  <sheetFormatPr baseColWidth="10" defaultColWidth="8.83203125" defaultRowHeight="15" x14ac:dyDescent="0.2"/>
  <cols>
    <col min="1" max="1" width="13" bestFit="1" customWidth="1"/>
    <col min="2" max="2" width="12.1640625" bestFit="1" customWidth="1"/>
  </cols>
  <sheetData>
    <row r="1" spans="1:13" ht="24" x14ac:dyDescent="0.3">
      <c r="A1" s="101" t="s">
        <v>111</v>
      </c>
      <c r="C1" s="102" t="s">
        <v>2</v>
      </c>
      <c r="D1" s="30">
        <v>23</v>
      </c>
      <c r="E1" s="30">
        <v>25</v>
      </c>
      <c r="F1" s="30">
        <v>57</v>
      </c>
      <c r="G1" s="30">
        <v>45</v>
      </c>
      <c r="H1" s="30">
        <v>44</v>
      </c>
      <c r="I1" s="30">
        <v>39</v>
      </c>
      <c r="J1" s="30">
        <v>34</v>
      </c>
      <c r="K1" s="30">
        <v>32</v>
      </c>
      <c r="L1" s="30">
        <v>39</v>
      </c>
      <c r="M1" s="30">
        <v>12</v>
      </c>
    </row>
    <row r="2" spans="1:13" ht="16" x14ac:dyDescent="0.2">
      <c r="C2" s="103" t="s">
        <v>112</v>
      </c>
    </row>
    <row r="3" spans="1:13" ht="16" x14ac:dyDescent="0.2">
      <c r="C3" s="103" t="s">
        <v>113</v>
      </c>
    </row>
    <row r="5" spans="1:13" x14ac:dyDescent="0.2">
      <c r="B5" s="102" t="s">
        <v>2</v>
      </c>
    </row>
    <row r="6" spans="1:13" x14ac:dyDescent="0.2">
      <c r="B6" s="30">
        <v>23</v>
      </c>
    </row>
    <row r="7" spans="1:13" x14ac:dyDescent="0.2">
      <c r="B7" s="30">
        <v>25</v>
      </c>
    </row>
    <row r="8" spans="1:13" x14ac:dyDescent="0.2">
      <c r="B8" s="30">
        <v>57</v>
      </c>
    </row>
    <row r="9" spans="1:13" x14ac:dyDescent="0.2">
      <c r="B9" s="30">
        <v>45</v>
      </c>
    </row>
    <row r="10" spans="1:13" x14ac:dyDescent="0.2">
      <c r="B10" s="30">
        <v>44</v>
      </c>
    </row>
    <row r="11" spans="1:13" x14ac:dyDescent="0.2">
      <c r="B11" s="30">
        <v>39</v>
      </c>
    </row>
    <row r="12" spans="1:13" x14ac:dyDescent="0.2">
      <c r="B12" s="30">
        <v>34</v>
      </c>
    </row>
    <row r="13" spans="1:13" x14ac:dyDescent="0.2">
      <c r="B13" s="30">
        <v>32</v>
      </c>
    </row>
    <row r="14" spans="1:13" x14ac:dyDescent="0.2">
      <c r="B14" s="30">
        <v>39</v>
      </c>
    </row>
    <row r="15" spans="1:13" x14ac:dyDescent="0.2">
      <c r="B15" s="30">
        <v>12</v>
      </c>
    </row>
    <row r="17" spans="2:3" x14ac:dyDescent="0.2">
      <c r="B17" s="63" t="s">
        <v>114</v>
      </c>
      <c r="C17">
        <v>12</v>
      </c>
    </row>
    <row r="18" spans="2:3" x14ac:dyDescent="0.2">
      <c r="B18" s="63" t="s">
        <v>115</v>
      </c>
      <c r="C18">
        <v>57</v>
      </c>
    </row>
    <row r="19" spans="2:3" x14ac:dyDescent="0.2">
      <c r="B19" s="63" t="s">
        <v>116</v>
      </c>
      <c r="C19">
        <v>36.5</v>
      </c>
    </row>
    <row r="20" spans="2:3" x14ac:dyDescent="0.2">
      <c r="B20" s="63" t="s">
        <v>117</v>
      </c>
      <c r="C20">
        <v>24.5</v>
      </c>
    </row>
    <row r="21" spans="2:3" x14ac:dyDescent="0.2">
      <c r="B21" s="63" t="s">
        <v>118</v>
      </c>
      <c r="C21">
        <v>44.25</v>
      </c>
    </row>
    <row r="22" spans="2:3" x14ac:dyDescent="0.2">
      <c r="B22" s="63" t="s">
        <v>119</v>
      </c>
      <c r="C22">
        <v>35</v>
      </c>
    </row>
  </sheetData>
  <sheetProtection selectLockedCells="1" selectUnlockedCells="1"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2EFF0-984D-1E47-8C85-BEFD9F502EA5}">
  <sheetPr>
    <tabColor rgb="FF92D050"/>
  </sheetPr>
  <dimension ref="A1:M25"/>
  <sheetViews>
    <sheetView zoomScale="120" zoomScaleNormal="120" workbookViewId="0">
      <selection activeCell="U15" sqref="U15"/>
    </sheetView>
  </sheetViews>
  <sheetFormatPr baseColWidth="10" defaultColWidth="8.83203125" defaultRowHeight="15" x14ac:dyDescent="0.2"/>
  <cols>
    <col min="2" max="2" width="12.1640625" bestFit="1" customWidth="1"/>
  </cols>
  <sheetData>
    <row r="1" spans="1:13" ht="19" x14ac:dyDescent="0.2">
      <c r="A1" s="110" t="s">
        <v>14</v>
      </c>
      <c r="B1" s="110"/>
      <c r="C1" s="103" t="s">
        <v>120</v>
      </c>
    </row>
    <row r="2" spans="1:13" ht="16" x14ac:dyDescent="0.2">
      <c r="B2" s="9"/>
      <c r="C2" s="38" t="s">
        <v>15</v>
      </c>
      <c r="D2" s="39">
        <v>22</v>
      </c>
      <c r="E2" s="39">
        <v>43</v>
      </c>
      <c r="F2" s="39">
        <v>12</v>
      </c>
      <c r="G2" s="39">
        <v>37</v>
      </c>
      <c r="H2" s="39">
        <v>29</v>
      </c>
      <c r="I2" s="39">
        <v>42</v>
      </c>
      <c r="J2" s="39">
        <v>32</v>
      </c>
      <c r="K2" s="39">
        <v>38</v>
      </c>
      <c r="L2" s="39">
        <v>15</v>
      </c>
      <c r="M2" s="39">
        <v>33</v>
      </c>
    </row>
    <row r="3" spans="1:13" ht="16" x14ac:dyDescent="0.2">
      <c r="B3" s="9"/>
      <c r="C3" s="38" t="s">
        <v>16</v>
      </c>
      <c r="D3" s="39">
        <v>17</v>
      </c>
      <c r="E3" s="39">
        <v>29</v>
      </c>
      <c r="F3" s="39">
        <v>21</v>
      </c>
      <c r="G3" s="39">
        <v>34</v>
      </c>
      <c r="H3" s="39">
        <v>31</v>
      </c>
      <c r="I3" s="39">
        <v>27</v>
      </c>
      <c r="J3" s="39">
        <v>35</v>
      </c>
      <c r="K3" s="39">
        <v>28</v>
      </c>
      <c r="L3" s="39">
        <v>30</v>
      </c>
      <c r="M3" s="39">
        <v>32</v>
      </c>
    </row>
    <row r="4" spans="1:13" ht="16" x14ac:dyDescent="0.2">
      <c r="C4" s="103" t="s">
        <v>121</v>
      </c>
    </row>
    <row r="6" spans="1:13" ht="16" x14ac:dyDescent="0.2">
      <c r="B6" s="36" t="s">
        <v>122</v>
      </c>
      <c r="C6" s="38" t="s">
        <v>15</v>
      </c>
      <c r="D6" s="38" t="s">
        <v>16</v>
      </c>
    </row>
    <row r="7" spans="1:13" ht="16" x14ac:dyDescent="0.2">
      <c r="B7" s="35">
        <v>1</v>
      </c>
      <c r="C7" s="39">
        <v>22</v>
      </c>
      <c r="D7" s="39">
        <v>17</v>
      </c>
    </row>
    <row r="8" spans="1:13" ht="16" x14ac:dyDescent="0.2">
      <c r="B8" s="35">
        <v>2</v>
      </c>
      <c r="C8" s="39">
        <v>43</v>
      </c>
      <c r="D8" s="39">
        <v>29</v>
      </c>
    </row>
    <row r="9" spans="1:13" ht="16" x14ac:dyDescent="0.2">
      <c r="B9" s="35">
        <v>3</v>
      </c>
      <c r="C9" s="39">
        <v>12</v>
      </c>
      <c r="D9" s="39">
        <v>21</v>
      </c>
    </row>
    <row r="10" spans="1:13" ht="16" x14ac:dyDescent="0.2">
      <c r="B10" s="35">
        <v>4</v>
      </c>
      <c r="C10" s="39">
        <v>37</v>
      </c>
      <c r="D10" s="39">
        <v>34</v>
      </c>
    </row>
    <row r="11" spans="1:13" ht="16" x14ac:dyDescent="0.2">
      <c r="B11" s="35">
        <v>5</v>
      </c>
      <c r="C11" s="39">
        <v>29</v>
      </c>
      <c r="D11" s="39">
        <v>31</v>
      </c>
    </row>
    <row r="12" spans="1:13" ht="16" x14ac:dyDescent="0.2">
      <c r="B12" s="35">
        <v>6</v>
      </c>
      <c r="C12" s="39">
        <v>42</v>
      </c>
      <c r="D12" s="39">
        <v>27</v>
      </c>
    </row>
    <row r="13" spans="1:13" ht="16" x14ac:dyDescent="0.2">
      <c r="B13" s="35">
        <v>7</v>
      </c>
      <c r="C13" s="39">
        <v>32</v>
      </c>
      <c r="D13" s="39">
        <v>35</v>
      </c>
    </row>
    <row r="14" spans="1:13" ht="16" x14ac:dyDescent="0.2">
      <c r="B14" s="35">
        <v>8</v>
      </c>
      <c r="C14" s="39">
        <v>38</v>
      </c>
      <c r="D14" s="39">
        <v>28</v>
      </c>
    </row>
    <row r="15" spans="1:13" ht="16" x14ac:dyDescent="0.2">
      <c r="B15" s="35">
        <v>9</v>
      </c>
      <c r="C15" s="39">
        <v>15</v>
      </c>
      <c r="D15" s="39">
        <v>30</v>
      </c>
    </row>
    <row r="16" spans="1:13" ht="16" x14ac:dyDescent="0.2">
      <c r="B16" s="35">
        <v>10</v>
      </c>
      <c r="C16" s="39">
        <v>33</v>
      </c>
      <c r="D16" s="39">
        <v>32</v>
      </c>
    </row>
    <row r="19" spans="2:4" x14ac:dyDescent="0.2">
      <c r="C19" s="63" t="s">
        <v>123</v>
      </c>
      <c r="D19" s="63" t="s">
        <v>124</v>
      </c>
    </row>
    <row r="20" spans="2:4" x14ac:dyDescent="0.2">
      <c r="B20" s="63" t="s">
        <v>114</v>
      </c>
      <c r="C20">
        <v>12</v>
      </c>
      <c r="D20">
        <v>17</v>
      </c>
    </row>
    <row r="21" spans="2:4" x14ac:dyDescent="0.2">
      <c r="B21" s="63" t="s">
        <v>115</v>
      </c>
      <c r="C21">
        <v>43</v>
      </c>
      <c r="D21">
        <v>35</v>
      </c>
    </row>
    <row r="22" spans="2:4" x14ac:dyDescent="0.2">
      <c r="B22" s="63" t="s">
        <v>116</v>
      </c>
      <c r="C22">
        <v>32.5</v>
      </c>
      <c r="D22">
        <v>29.5</v>
      </c>
    </row>
    <row r="23" spans="2:4" x14ac:dyDescent="0.2">
      <c r="B23" s="63" t="s">
        <v>117</v>
      </c>
      <c r="C23">
        <v>20.25</v>
      </c>
      <c r="D23">
        <v>25.5</v>
      </c>
    </row>
    <row r="24" spans="2:4" x14ac:dyDescent="0.2">
      <c r="B24" s="63" t="s">
        <v>118</v>
      </c>
      <c r="C24">
        <v>39</v>
      </c>
      <c r="D24">
        <v>32.5</v>
      </c>
    </row>
    <row r="25" spans="2:4" x14ac:dyDescent="0.2">
      <c r="B25" s="63" t="s">
        <v>119</v>
      </c>
      <c r="C25">
        <v>30.3</v>
      </c>
      <c r="D25">
        <v>28.4</v>
      </c>
    </row>
  </sheetData>
  <mergeCells count="1">
    <mergeCell ref="A1:B1"/>
  </mergeCells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8A575-E3C6-624A-A754-BBFD9C94486B}">
  <sheetPr>
    <tabColor rgb="FF92D050"/>
  </sheetPr>
  <dimension ref="A1:E25"/>
  <sheetViews>
    <sheetView topLeftCell="A5" workbookViewId="0">
      <selection activeCell="B25" sqref="B25:D25"/>
    </sheetView>
  </sheetViews>
  <sheetFormatPr baseColWidth="10" defaultColWidth="8.83203125" defaultRowHeight="15" x14ac:dyDescent="0.2"/>
  <cols>
    <col min="1" max="1" width="15.6640625" bestFit="1" customWidth="1"/>
  </cols>
  <sheetData>
    <row r="1" spans="1:5" x14ac:dyDescent="0.2">
      <c r="A1" s="104" t="s">
        <v>125</v>
      </c>
      <c r="B1" s="104" t="s">
        <v>126</v>
      </c>
      <c r="C1" s="104" t="s">
        <v>127</v>
      </c>
      <c r="D1" s="105"/>
    </row>
    <row r="2" spans="1:5" x14ac:dyDescent="0.2">
      <c r="A2" s="30">
        <v>59</v>
      </c>
      <c r="B2" s="30">
        <v>46</v>
      </c>
      <c r="C2" s="30">
        <v>44</v>
      </c>
    </row>
    <row r="3" spans="1:5" x14ac:dyDescent="0.2">
      <c r="A3" s="30">
        <v>56</v>
      </c>
      <c r="B3" s="30">
        <v>37</v>
      </c>
      <c r="C3" s="30">
        <v>57</v>
      </c>
    </row>
    <row r="4" spans="1:5" ht="19" x14ac:dyDescent="0.25">
      <c r="A4" s="30">
        <v>35</v>
      </c>
      <c r="B4" s="30">
        <v>41</v>
      </c>
      <c r="C4" s="30">
        <v>66</v>
      </c>
      <c r="E4" s="106" t="s">
        <v>128</v>
      </c>
    </row>
    <row r="5" spans="1:5" x14ac:dyDescent="0.2">
      <c r="A5" s="30">
        <v>68</v>
      </c>
      <c r="B5" s="30">
        <v>57</v>
      </c>
      <c r="C5" s="30">
        <v>80</v>
      </c>
    </row>
    <row r="6" spans="1:5" ht="19" x14ac:dyDescent="0.25">
      <c r="A6" s="30">
        <v>39</v>
      </c>
      <c r="B6" s="30">
        <v>66</v>
      </c>
      <c r="C6" s="30">
        <v>46</v>
      </c>
      <c r="E6" s="106" t="s">
        <v>129</v>
      </c>
    </row>
    <row r="7" spans="1:5" x14ac:dyDescent="0.2">
      <c r="A7" s="30">
        <v>52</v>
      </c>
      <c r="B7" s="30">
        <v>60</v>
      </c>
      <c r="C7" s="30">
        <v>66</v>
      </c>
    </row>
    <row r="8" spans="1:5" x14ac:dyDescent="0.2">
      <c r="A8" s="30">
        <v>51</v>
      </c>
      <c r="B8" s="30">
        <v>69</v>
      </c>
      <c r="C8" s="30">
        <v>74</v>
      </c>
    </row>
    <row r="9" spans="1:5" x14ac:dyDescent="0.2">
      <c r="A9" s="30">
        <v>42</v>
      </c>
      <c r="B9" s="30">
        <v>63</v>
      </c>
      <c r="C9" s="30">
        <v>53</v>
      </c>
    </row>
    <row r="10" spans="1:5" x14ac:dyDescent="0.2">
      <c r="A10" s="30">
        <v>59</v>
      </c>
      <c r="B10" s="30">
        <v>57</v>
      </c>
      <c r="C10" s="30">
        <v>60</v>
      </c>
    </row>
    <row r="11" spans="1:5" x14ac:dyDescent="0.2">
      <c r="A11" s="30">
        <v>56</v>
      </c>
      <c r="B11" s="30">
        <v>68</v>
      </c>
      <c r="C11" s="30">
        <v>54</v>
      </c>
    </row>
    <row r="12" spans="1:5" x14ac:dyDescent="0.2">
      <c r="A12" s="30">
        <v>44</v>
      </c>
      <c r="B12" s="30">
        <v>69</v>
      </c>
      <c r="C12" s="30">
        <v>74</v>
      </c>
    </row>
    <row r="13" spans="1:5" x14ac:dyDescent="0.2">
      <c r="A13" s="30">
        <v>51</v>
      </c>
      <c r="B13" s="30">
        <v>64</v>
      </c>
      <c r="C13" s="30">
        <v>55</v>
      </c>
    </row>
    <row r="14" spans="1:5" x14ac:dyDescent="0.2">
      <c r="A14" s="30">
        <v>50</v>
      </c>
      <c r="B14" s="30">
        <v>53</v>
      </c>
      <c r="C14" s="30">
        <v>43</v>
      </c>
    </row>
    <row r="15" spans="1:5" x14ac:dyDescent="0.2">
      <c r="A15" s="30">
        <v>66</v>
      </c>
      <c r="B15" s="30">
        <v>76</v>
      </c>
      <c r="C15" s="30">
        <v>89</v>
      </c>
    </row>
    <row r="18" spans="1:4" ht="19" x14ac:dyDescent="0.25">
      <c r="B18" s="106" t="s">
        <v>125</v>
      </c>
      <c r="C18" s="106" t="s">
        <v>126</v>
      </c>
      <c r="D18" s="106" t="s">
        <v>127</v>
      </c>
    </row>
    <row r="19" spans="1:4" ht="19" x14ac:dyDescent="0.25">
      <c r="A19" s="106" t="s">
        <v>114</v>
      </c>
      <c r="B19">
        <v>35</v>
      </c>
      <c r="C19">
        <v>37</v>
      </c>
      <c r="D19">
        <v>43</v>
      </c>
    </row>
    <row r="20" spans="1:4" ht="19" x14ac:dyDescent="0.25">
      <c r="A20" s="106" t="s">
        <v>115</v>
      </c>
      <c r="B20">
        <v>68</v>
      </c>
      <c r="C20">
        <v>76</v>
      </c>
      <c r="D20">
        <v>89</v>
      </c>
    </row>
    <row r="21" spans="1:4" ht="19" x14ac:dyDescent="0.25">
      <c r="A21" s="106" t="s">
        <v>116</v>
      </c>
      <c r="B21">
        <v>51.5</v>
      </c>
      <c r="C21">
        <v>61.5</v>
      </c>
      <c r="D21">
        <v>58.5</v>
      </c>
    </row>
    <row r="22" spans="1:4" ht="19" x14ac:dyDescent="0.25">
      <c r="A22" s="106" t="s">
        <v>117</v>
      </c>
      <c r="B22">
        <v>43.5</v>
      </c>
      <c r="C22">
        <v>51.25</v>
      </c>
      <c r="D22">
        <v>51.25</v>
      </c>
    </row>
    <row r="23" spans="1:4" ht="19" x14ac:dyDescent="0.25">
      <c r="A23" s="106" t="s">
        <v>118</v>
      </c>
      <c r="B23">
        <v>59</v>
      </c>
      <c r="C23">
        <v>68.25</v>
      </c>
      <c r="D23">
        <v>74</v>
      </c>
    </row>
    <row r="24" spans="1:4" ht="19" x14ac:dyDescent="0.25">
      <c r="A24" s="106" t="s">
        <v>119</v>
      </c>
      <c r="B24">
        <v>52</v>
      </c>
      <c r="C24">
        <v>59</v>
      </c>
      <c r="D24">
        <v>61.5</v>
      </c>
    </row>
    <row r="25" spans="1:4" ht="19" x14ac:dyDescent="0.25">
      <c r="A25" s="106" t="s">
        <v>130</v>
      </c>
      <c r="B25">
        <f>B23-B22</f>
        <v>15.5</v>
      </c>
      <c r="C25">
        <f t="shared" ref="C25:D25" si="0">C23-C22</f>
        <v>17</v>
      </c>
      <c r="D25">
        <f t="shared" si="0"/>
        <v>22.75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D7E93-DE7C-904B-ADEE-1313421DCA58}">
  <dimension ref="A1:A15"/>
  <sheetViews>
    <sheetView tabSelected="1" workbookViewId="0">
      <selection activeCell="A14" sqref="A14"/>
    </sheetView>
  </sheetViews>
  <sheetFormatPr baseColWidth="10" defaultRowHeight="15" x14ac:dyDescent="0.2"/>
  <sheetData>
    <row r="1" spans="1:1" ht="19" x14ac:dyDescent="0.25">
      <c r="A1" s="114" t="s">
        <v>152</v>
      </c>
    </row>
    <row r="3" spans="1:1" x14ac:dyDescent="0.2">
      <c r="A3" t="s">
        <v>153</v>
      </c>
    </row>
    <row r="5" spans="1:1" x14ac:dyDescent="0.2">
      <c r="A5" t="s">
        <v>154</v>
      </c>
    </row>
    <row r="7" spans="1:1" x14ac:dyDescent="0.2">
      <c r="A7" t="s">
        <v>155</v>
      </c>
    </row>
    <row r="9" spans="1:1" x14ac:dyDescent="0.2">
      <c r="A9" t="s">
        <v>156</v>
      </c>
    </row>
    <row r="11" spans="1:1" x14ac:dyDescent="0.2">
      <c r="A11" t="s">
        <v>157</v>
      </c>
    </row>
    <row r="13" spans="1:1" x14ac:dyDescent="0.2">
      <c r="A13" t="s">
        <v>158</v>
      </c>
    </row>
    <row r="15" spans="1:1" x14ac:dyDescent="0.2">
      <c r="A15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Peoject Overview</vt:lpstr>
      <vt:lpstr>sales-profit scatter analysis</vt:lpstr>
      <vt:lpstr>sales revenue analysis</vt:lpstr>
      <vt:lpstr>pareto anlysis of productdefect</vt:lpstr>
      <vt:lpstr>profit distribution by box plot</vt:lpstr>
      <vt:lpstr>HR training performance analysi</vt:lpstr>
      <vt:lpstr>share price comparative analysi</vt:lpstr>
      <vt:lpstr>key learning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2026-07-30T17:58:53Z</dcterms:created>
  <dcterms:modified xsi:type="dcterms:W3CDTF">2026-07-31T07:31:34Z</dcterms:modified>
</cp:coreProperties>
</file>